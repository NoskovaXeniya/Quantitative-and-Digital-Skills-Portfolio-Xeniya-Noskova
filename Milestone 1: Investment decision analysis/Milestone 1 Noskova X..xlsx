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1" sheetId="1" r:id="rId5"/>
    <sheet state="visible" name="co2" sheetId="2" r:id="rId6"/>
    <sheet state="visible" name="combine" sheetId="3" r:id="rId7"/>
    <sheet state="visible" name="returns, descr, cvar, z outlier" sheetId="4" r:id="rId8"/>
    <sheet state="visible" name="regression" sheetId="5" r:id="rId9"/>
    <sheet state="visible" name="synopsis" sheetId="6" r:id="rId10"/>
  </sheets>
  <definedNames/>
  <calcPr/>
</workbook>
</file>

<file path=xl/sharedStrings.xml><?xml version="1.0" encoding="utf-8"?>
<sst xmlns="http://schemas.openxmlformats.org/spreadsheetml/2006/main" count="90" uniqueCount="70">
  <si>
    <t>Date</t>
  </si>
  <si>
    <t>Adj Close,Tesla, Inc. (TSLA)</t>
  </si>
  <si>
    <t>Tesla, Inc. (TSLA)</t>
  </si>
  <si>
    <t>NasdaqGS - Delayed Quote • USD</t>
  </si>
  <si>
    <t>Adj Close,Toyota Motor Corporation (TM)</t>
  </si>
  <si>
    <t>Toyota Motor Corporation (TM)</t>
  </si>
  <si>
    <t>NYSE - Nasdaq Real Time Price • USD</t>
  </si>
  <si>
    <t>Adj Close</t>
  </si>
  <si>
    <t>Weekly return for Tesla, Inc. (TSLA)</t>
  </si>
  <si>
    <t>Weekly return for Toyota Motor Corporation (TM)</t>
  </si>
  <si>
    <t>Max</t>
  </si>
  <si>
    <t>Min</t>
  </si>
  <si>
    <t>range:</t>
  </si>
  <si>
    <t>Q3</t>
  </si>
  <si>
    <t>Q1</t>
  </si>
  <si>
    <t xml:space="preserve">IQR, Interquartile range= q3-q1 </t>
  </si>
  <si>
    <t>Mean</t>
  </si>
  <si>
    <t>Mean Absolute Deviation</t>
  </si>
  <si>
    <t>Sample Variance</t>
  </si>
  <si>
    <t>Sample Standard Deviation</t>
  </si>
  <si>
    <t>CV</t>
  </si>
  <si>
    <t>Z min</t>
  </si>
  <si>
    <t>All z-scores fall within the range −3 to 3, therefore no outliers were detected.</t>
  </si>
  <si>
    <t>Z max</t>
  </si>
  <si>
    <t>Cov</t>
  </si>
  <si>
    <t>Correlation</t>
  </si>
  <si>
    <t>T bill</t>
  </si>
  <si>
    <t>Sharpe ratio</t>
  </si>
  <si>
    <t>Chi square, a=0,05</t>
  </si>
  <si>
    <t>F dist</t>
  </si>
  <si>
    <t xml:space="preserve">Adj Close,Toyota Motor Corporation (TM) </t>
  </si>
  <si>
    <t>Adj Close,S&amp;P 500 (^GSPC)</t>
  </si>
  <si>
    <t>Toyota Motor Corporation (TM) return minus the 10-year Treasury return</t>
  </si>
  <si>
    <t>DAILY ADJ. RETURN ON S&amp;P 500 INDEX (^SPX) minus weekly 10-year U.S. Treasury note RETURN</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</si>
  <si>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</si>
  <si>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</si>
  <si>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</si>
  <si>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</si>
  <si>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</si>
  <si>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</si>
  <si>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</si>
  <si>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</si>
  <si>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</si>
  <si>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</si>
  <si>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</si>
  <si>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</si>
  <si>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</si>
  <si>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</si>
  <si>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</si>
  <si>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</si>
  <si>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</si>
  <si>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</si>
  <si>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</si>
  <si>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</si>
  <si>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</si>
  <si>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</si>
  <si>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</si>
  <si>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</si>
  <si>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Analytical Synopsis: Weekly Returns Analysis of Tesla and Toyota</t>
  </si>
  <si>
    <t>Stock return analysis is an important tool for investors when evaluating potential investments. By examining historical returns and statistical measures of risk, analysts can better understand how different assets perform under changing market conditions. An analysis of weekly return data for Tesla (TSLA) and Toyota (TM) from February 2025 to February 2026 provides useful insights for investors regarding the return performance and risk characteristics of these two companies.</t>
  </si>
  <si>
    <t>The results indicate that Toyota produced a slightly higher average weekly return (0.61%) compared to Tesla’s 0.41%. While mean return reflects the expected reward, it does not capture the level of uncertainty associated with the investment.</t>
  </si>
  <si>
    <t>To assess risk, the standard deviation of returns was calculated. Tesla shows a higher standard deviation (6.82%), while Toyota’s standard deviation is 4.15%. This indicates that Tesla’s returns fluctuate more widely around the mean and therefore exhibit greater volatility. The mean absolute deviation supports this conclusion, with Tesla showing 5.39% compared to Toyota’s 3.38%, again suggesting more unstable returns for Tesla.</t>
  </si>
  <si>
    <t>The range of returns further highlights the difference in volatility. Tesla’s range is 32.87%, which is significantly wider than Toyota’s 23.18%, indicating that Tesla experiences larger positive and negative weekly movements.Another important metric is the coefficient of variation (CV), which measures the amount of risk relative to expected return. Tesla has a CV of 16.81, while Toyota’s CV is 6.79, suggesting that Tesla carries substantially more risk for each unit of return generated.</t>
  </si>
  <si>
    <t>The Sharpe ratio was calculated using a Treasury bill rate of 3.96% as the risk-free rate. Both assets produced negative Sharpe ratios, indicating that their average returns were lower than the risk-free benchmark during the observed period.</t>
  </si>
  <si>
    <t>The analysis also examined the relationship between the two stocks. The correlation coefficient of 0.15 suggests a weak positive relationship between Tesla and Toyota returns. This relatively low correlation implies that holding both assets in a portfolio could potentially provide diversification benefits.</t>
  </si>
  <si>
    <t>In summary, the analysis suggests that Toyota demonstrates more stable and less volatile returns, while Tesla shows greater variability and higher risk. Investors seeking more stable performance may prefer Toyota, while Tesla may appeal to investors willing to accept higher volatility.</t>
  </si>
  <si>
    <t>Analytical Synopsis: Regression Analysis of Toyota Returns vs. S&amp;P 500 Excess Return</t>
  </si>
  <si>
    <t>The regression analysis examines the relationship between the dependent variable and the daily adjusted return on the S&amp;P 500 index minus the weekly 10-year U.S. Treasury return. The model shows a moderate positive relationship with a Multiple R of 0.525. The R² of 0.276 indicates that about 27.6% of the variation in the dependent variable is explained by this factor.</t>
  </si>
  <si>
    <t>The overall regression model is statistically significant (F = 18.66, p-value = 7.59 × 10⁻⁵), meaning the independent variable significantly predicts the dependent variable.</t>
  </si>
  <si>
    <t>The coefficient for the market return variable (β = 0.9499) is positive and statistically significant (p = 7.59 × 10⁻⁵), indicating that when the market excess return increases by 1 unit, the dependent variable increases by about 0.95 units on 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</si>
</sst>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0.000"/>
    <numFmt numFmtId="166" formatCode="0.000000000"/>
  </numFmts>
  <fonts count="19">
    <font>
      <sz val="10.0"/>
      <color rgb="FF000000"/>
      <name val="Arial"/>
      <scheme val="minor"/>
    </font>
    <font>
      <b/>
      <color theme="1"/>
      <name val="Arial"/>
      <scheme val="minor"/>
    </font>
    <font>
      <b/>
      <u/>
      <color rgb="FF0000FF"/>
    </font>
    <font>
      <color theme="1"/>
      <name val="Arial"/>
      <scheme val="minor"/>
    </font>
    <font>
      <b/>
      <sz val="24.0"/>
      <color theme="1"/>
      <name val="Arial"/>
      <scheme val="minor"/>
    </font>
    <font>
      <b/>
      <u/>
      <color rgb="FF0000FF"/>
    </font>
    <font>
      <b/>
      <u/>
      <color rgb="FF0000FF"/>
    </font>
    <font>
      <color theme="1"/>
      <name val="Arial"/>
    </font>
    <font>
      <b/>
      <color theme="1"/>
      <name val="Arial"/>
    </font>
    <font>
      <b/>
      <sz val="9.0"/>
      <color theme="1"/>
      <name val="Arial"/>
    </font>
    <font>
      <sz val="10.0"/>
      <color theme="1"/>
      <name val="Arial"/>
    </font>
    <font>
      <b/>
      <color theme="1"/>
      <name val="Roboto"/>
    </font>
    <font>
      <sz val="11.0"/>
      <color rgb="FF000000"/>
      <name val="Calibri"/>
    </font>
    <font>
      <i/>
      <sz val="11.0"/>
      <color rgb="FF000000"/>
      <name val="Calibri"/>
    </font>
    <font/>
    <font>
      <b/>
      <sz val="19.0"/>
      <color theme="1"/>
      <name val="Arial"/>
      <scheme val="minor"/>
    </font>
    <font>
      <sz val="11.0"/>
      <color theme="1"/>
      <name val="Arial"/>
      <scheme val="minor"/>
    </font>
    <font>
      <b/>
      <sz val="17.0"/>
      <color theme="1"/>
      <name val="Arial"/>
      <scheme val="minor"/>
    </font>
    <font>
      <sz val="11.0"/>
      <color theme="1"/>
      <name val="Arial"/>
    </font>
  </fonts>
  <fills count="6">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EFEFEF"/>
        <bgColor rgb="FFEFEFEF"/>
      </patternFill>
    </fill>
    <fill>
      <patternFill patternType="solid">
        <fgColor rgb="FFB7B7B7"/>
        <bgColor rgb="FFB7B7B7"/>
      </patternFill>
    </fill>
  </fills>
  <borders count="4">
    <border/>
    <border>
      <left/>
      <right/>
      <top/>
      <bottom/>
    </border>
    <border>
      <top style="thin">
        <color rgb="FF000000"/>
      </top>
      <bottom style="thin">
        <color rgb="FF000000"/>
      </bottom>
    </border>
    <border>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164" xfId="0" applyAlignment="1" applyFont="1" applyNumberFormat="1">
      <alignment horizontal="center" readingOrder="0"/>
    </xf>
    <xf borderId="0" fillId="0" fontId="2" numFmtId="0" xfId="0" applyAlignment="1" applyFont="1">
      <alignment horizontal="left" readingOrder="0" shrinkToFit="0" wrapText="1"/>
    </xf>
    <xf borderId="0" fillId="0" fontId="3" numFmtId="164"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3" numFmtId="164" xfId="0" applyFont="1" applyNumberFormat="1"/>
    <xf borderId="0" fillId="0" fontId="5" numFmtId="0" xfId="0" applyAlignment="1" applyFont="1">
      <alignment horizontal="center" readingOrder="0"/>
    </xf>
    <xf borderId="0" fillId="0" fontId="3" numFmtId="0" xfId="0" applyFont="1"/>
    <xf borderId="0" fillId="2" fontId="1" numFmtId="164" xfId="0" applyAlignment="1" applyFill="1" applyFont="1" applyNumberFormat="1">
      <alignment readingOrder="0"/>
    </xf>
    <xf borderId="0" fillId="2" fontId="6" numFmtId="0" xfId="0" applyAlignment="1" applyFont="1">
      <alignment horizontal="left" readingOrder="0" shrinkToFit="0" wrapText="1"/>
    </xf>
    <xf borderId="0" fillId="2" fontId="7" numFmtId="0" xfId="0" applyAlignment="1" applyFont="1">
      <alignment horizontal="left" readingOrder="0" shrinkToFit="0" wrapText="1"/>
    </xf>
    <xf borderId="0" fillId="2" fontId="7" numFmtId="10" xfId="0" applyAlignment="1" applyFont="1" applyNumberFormat="1">
      <alignment horizontal="left" readingOrder="0" shrinkToFit="0" wrapText="1"/>
    </xf>
    <xf borderId="0" fillId="3" fontId="7" numFmtId="0" xfId="0" applyAlignment="1" applyFill="1" applyFont="1">
      <alignment horizontal="left" readingOrder="0" shrinkToFit="0" wrapText="1"/>
    </xf>
    <xf borderId="0" fillId="0" fontId="3" numFmtId="10" xfId="0" applyAlignment="1" applyFont="1" applyNumberFormat="1">
      <alignment readingOrder="0"/>
    </xf>
    <xf borderId="0" fillId="0" fontId="3" numFmtId="10" xfId="0" applyFont="1" applyNumberFormat="1"/>
    <xf borderId="0" fillId="0" fontId="3" numFmtId="165" xfId="0" applyAlignment="1" applyFont="1" applyNumberFormat="1">
      <alignment readingOrder="0"/>
    </xf>
    <xf borderId="0" fillId="0" fontId="7" numFmtId="0" xfId="0" applyAlignment="1" applyFont="1">
      <alignment vertical="bottom"/>
    </xf>
    <xf borderId="0" fillId="0" fontId="7" numFmtId="10" xfId="0" applyAlignment="1" applyFont="1" applyNumberFormat="1">
      <alignment horizontal="right" vertical="bottom"/>
    </xf>
    <xf borderId="0" fillId="0" fontId="8" numFmtId="10" xfId="0" applyAlignment="1" applyFont="1" applyNumberFormat="1">
      <alignment horizontal="right" vertical="bottom"/>
    </xf>
    <xf borderId="0" fillId="0" fontId="9" numFmtId="0" xfId="0" applyAlignment="1" applyFont="1">
      <alignment vertical="bottom"/>
    </xf>
    <xf borderId="0" fillId="0" fontId="9" numFmtId="10" xfId="0" applyAlignment="1" applyFont="1" applyNumberFormat="1">
      <alignment horizontal="center" vertical="bottom"/>
    </xf>
    <xf borderId="0" fillId="0" fontId="10" numFmtId="0" xfId="0" applyFont="1"/>
    <xf borderId="0" fillId="0" fontId="3" numFmtId="4" xfId="0" applyAlignment="1" applyFont="1" applyNumberFormat="1">
      <alignment readingOrder="0"/>
    </xf>
    <xf borderId="1" fillId="4" fontId="8" numFmtId="4" xfId="0" applyAlignment="1" applyBorder="1" applyFill="1" applyFont="1" applyNumberFormat="1">
      <alignment horizontal="center" vertical="bottom"/>
    </xf>
    <xf borderId="1" fillId="2" fontId="8" numFmtId="4" xfId="0" applyAlignment="1" applyBorder="1" applyFont="1" applyNumberFormat="1">
      <alignment horizontal="center" vertical="bottom"/>
    </xf>
    <xf borderId="1" fillId="5" fontId="8" numFmtId="2" xfId="0" applyAlignment="1" applyBorder="1" applyFill="1" applyFont="1" applyNumberFormat="1">
      <alignment horizontal="right" vertical="bottom"/>
    </xf>
    <xf borderId="1" fillId="5" fontId="8" numFmtId="2" xfId="0" applyAlignment="1" applyBorder="1" applyFont="1" applyNumberFormat="1">
      <alignment vertical="bottom"/>
    </xf>
    <xf borderId="0" fillId="0" fontId="7" numFmtId="2" xfId="0" applyAlignment="1" applyFont="1" applyNumberFormat="1">
      <alignment horizontal="right" vertical="bottom"/>
    </xf>
    <xf borderId="0" fillId="0" fontId="7" numFmtId="0" xfId="0" applyAlignment="1" applyFont="1">
      <alignment readingOrder="0" vertical="bottom"/>
    </xf>
    <xf borderId="0" fillId="0" fontId="7" numFmtId="0" xfId="0" applyAlignment="1" applyFont="1">
      <alignment horizontal="center" vertical="bottom"/>
    </xf>
    <xf borderId="0" fillId="0" fontId="3" numFmtId="166" xfId="0" applyAlignment="1" applyFont="1" applyNumberFormat="1">
      <alignment readingOrder="0"/>
    </xf>
    <xf borderId="0" fillId="0" fontId="1" numFmtId="0" xfId="0" applyAlignment="1" applyFont="1">
      <alignment horizontal="left" readingOrder="0" shrinkToFit="0" wrapText="1"/>
    </xf>
    <xf borderId="0" fillId="0" fontId="1" numFmtId="0" xfId="0" applyAlignment="1" applyFont="1">
      <alignment horizontal="center" readingOrder="0" shrinkToFit="0" wrapText="1"/>
    </xf>
    <xf borderId="0" fillId="0" fontId="11" numFmtId="4" xfId="0" applyAlignment="1" applyFont="1" applyNumberFormat="1">
      <alignment readingOrder="0" shrinkToFit="0" vertical="bottom" wrapText="1"/>
    </xf>
    <xf borderId="0" fillId="0" fontId="3" numFmtId="165" xfId="0" applyFont="1" applyNumberFormat="1"/>
    <xf borderId="0" fillId="0" fontId="12" numFmtId="0" xfId="0" applyAlignment="1" applyFont="1">
      <alignment readingOrder="0" shrinkToFit="0" vertical="bottom" wrapText="0"/>
    </xf>
    <xf borderId="0" fillId="0" fontId="12" numFmtId="0" xfId="0" applyAlignment="1" applyFont="1">
      <alignment shrinkToFit="0" vertical="bottom" wrapText="0"/>
    </xf>
    <xf borderId="2" fillId="0" fontId="13" numFmtId="0" xfId="0" applyAlignment="1" applyBorder="1" applyFont="1">
      <alignment horizontal="center" readingOrder="0" shrinkToFit="0" vertical="bottom" wrapText="0"/>
    </xf>
    <xf borderId="2" fillId="0" fontId="14" numFmtId="0" xfId="0" applyBorder="1" applyFont="1"/>
    <xf borderId="0" fillId="0" fontId="12" numFmtId="0" xfId="0" applyAlignment="1" applyFont="1">
      <alignment horizontal="right" readingOrder="0" shrinkToFit="0" vertical="bottom" wrapText="0"/>
    </xf>
    <xf borderId="3" fillId="0" fontId="12" numFmtId="0" xfId="0" applyAlignment="1" applyBorder="1" applyFont="1">
      <alignment readingOrder="0" shrinkToFit="0" vertical="bottom" wrapText="0"/>
    </xf>
    <xf borderId="3" fillId="0" fontId="12" numFmtId="0" xfId="0" applyAlignment="1" applyBorder="1" applyFont="1">
      <alignment horizontal="right" readingOrder="0" shrinkToFit="0" vertical="bottom" wrapText="0"/>
    </xf>
    <xf borderId="2" fillId="0" fontId="13" numFmtId="0" xfId="0" applyAlignment="1" applyBorder="1" applyFont="1">
      <alignment horizontal="center" shrinkToFit="0" vertical="bottom" wrapText="0"/>
    </xf>
    <xf borderId="0" fillId="0" fontId="12" numFmtId="11" xfId="0" applyAlignment="1" applyFont="1" applyNumberFormat="1">
      <alignment horizontal="right" readingOrder="0" shrinkToFit="0" vertical="bottom" wrapText="0"/>
    </xf>
    <xf borderId="3" fillId="0" fontId="12" numFmtId="0" xfId="0" applyAlignment="1" applyBorder="1" applyFont="1">
      <alignment shrinkToFit="0" vertical="bottom" wrapText="0"/>
    </xf>
    <xf borderId="0" fillId="0" fontId="13" numFmtId="0" xfId="0" applyAlignment="1" applyFont="1">
      <alignment horizontal="center" readingOrder="0" shrinkToFit="0" vertical="bottom" wrapText="0"/>
    </xf>
    <xf borderId="3" fillId="0" fontId="12" numFmtId="11" xfId="0" applyAlignment="1" applyBorder="1" applyFont="1" applyNumberFormat="1">
      <alignment horizontal="right" readingOrder="0" shrinkToFit="0" vertical="bottom" wrapText="0"/>
    </xf>
    <xf borderId="0" fillId="0" fontId="15" numFmtId="0" xfId="0" applyAlignment="1" applyFont="1">
      <alignment readingOrder="0"/>
    </xf>
    <xf borderId="0" fillId="0" fontId="16" numFmtId="0" xfId="0" applyAlignment="1" applyFont="1">
      <alignment readingOrder="0" shrinkToFit="0" wrapText="1"/>
    </xf>
    <xf borderId="0" fillId="0" fontId="3" numFmtId="0" xfId="0" applyAlignment="1" applyFont="1">
      <alignment shrinkToFit="0" wrapText="1"/>
    </xf>
    <xf borderId="0" fillId="0" fontId="3" numFmtId="10" xfId="0" applyAlignment="1" applyFont="1" applyNumberFormat="1">
      <alignment shrinkToFit="0" wrapText="1"/>
    </xf>
    <xf borderId="0" fillId="0" fontId="3" numFmtId="0" xfId="0" applyAlignment="1" applyFont="1">
      <alignment shrinkToFit="0" wrapText="1"/>
    </xf>
    <xf borderId="0" fillId="0" fontId="3" numFmtId="4" xfId="0" applyAlignment="1" applyFont="1" applyNumberFormat="1">
      <alignment readingOrder="0" shrinkToFit="0" wrapText="1"/>
    </xf>
    <xf borderId="0" fillId="0" fontId="3" numFmtId="2" xfId="0" applyFont="1" applyNumberFormat="1"/>
    <xf borderId="0" fillId="0" fontId="17" numFmtId="0" xfId="0" applyAlignment="1" applyFont="1">
      <alignment readingOrder="0"/>
    </xf>
    <xf borderId="0" fillId="0" fontId="18"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TSLA/histor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TM/history/?frequency=1w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inance.yahoo.com/quote/TSLA/history/?frequency=1wk" TargetMode="External"/><Relationship Id="rId2" Type="http://schemas.openxmlformats.org/officeDocument/2006/relationships/hyperlink" Target="https://finance.yahoo.com/quote/TM/history/?frequency=1wk" TargetMode="External"/><Relationship Id="rId3" Type="http://schemas.openxmlformats.org/officeDocument/2006/relationships/hyperlink" Target="https://finance.yahoo.com/quote/TSLA/history/" TargetMode="External"/><Relationship Id="rId4" Type="http://schemas.openxmlformats.org/officeDocument/2006/relationships/hyperlink" Target="https://finance.yahoo.com/quote/TM/history/?frequency=1wk"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inance.yahoo.com/quote/TSLA/history/" TargetMode="External"/><Relationship Id="rId2" Type="http://schemas.openxmlformats.org/officeDocument/2006/relationships/hyperlink" Target="https://finance.yahoo.com/quote/TM/history/?frequency=1wk"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3">
        <v>46058.0</v>
      </c>
      <c r="B2" s="4">
        <v>397.21</v>
      </c>
      <c r="D2" s="3"/>
      <c r="F2" s="5" t="s">
        <v>2</v>
      </c>
    </row>
    <row r="3">
      <c r="A3" s="3">
        <v>46055.0</v>
      </c>
      <c r="B3" s="4">
        <v>397.21</v>
      </c>
    </row>
    <row r="4">
      <c r="A4" s="3">
        <v>46048.0</v>
      </c>
      <c r="B4" s="4">
        <v>430.41</v>
      </c>
      <c r="F4" s="4" t="s">
        <v>3</v>
      </c>
    </row>
    <row r="5">
      <c r="A5" s="3">
        <v>46041.0</v>
      </c>
      <c r="B5" s="4">
        <v>449.06</v>
      </c>
    </row>
    <row r="6">
      <c r="A6" s="3">
        <v>46034.0</v>
      </c>
      <c r="B6" s="4">
        <v>437.5</v>
      </c>
    </row>
    <row r="7">
      <c r="A7" s="3">
        <v>46027.0</v>
      </c>
      <c r="B7" s="4">
        <v>445.01</v>
      </c>
    </row>
    <row r="8">
      <c r="A8" s="3">
        <v>46020.0</v>
      </c>
      <c r="B8" s="4">
        <v>438.07</v>
      </c>
    </row>
    <row r="9">
      <c r="A9" s="3">
        <v>46013.0</v>
      </c>
      <c r="B9" s="4">
        <v>475.19</v>
      </c>
    </row>
    <row r="10">
      <c r="A10" s="3">
        <v>46006.0</v>
      </c>
      <c r="B10" s="4">
        <v>481.2</v>
      </c>
    </row>
    <row r="11">
      <c r="A11" s="3">
        <v>45999.0</v>
      </c>
      <c r="B11" s="4">
        <v>458.96</v>
      </c>
    </row>
    <row r="12">
      <c r="A12" s="3">
        <v>45992.0</v>
      </c>
      <c r="B12" s="4">
        <v>455.0</v>
      </c>
    </row>
    <row r="13">
      <c r="A13" s="3">
        <v>45985.0</v>
      </c>
      <c r="B13" s="4">
        <v>430.17</v>
      </c>
    </row>
    <row r="14">
      <c r="A14" s="3">
        <v>45978.0</v>
      </c>
      <c r="B14" s="4">
        <v>391.09</v>
      </c>
    </row>
    <row r="15">
      <c r="A15" s="3">
        <v>45971.0</v>
      </c>
      <c r="B15" s="4">
        <v>404.35</v>
      </c>
    </row>
    <row r="16">
      <c r="A16" s="3">
        <v>45964.0</v>
      </c>
      <c r="B16" s="4">
        <v>429.52</v>
      </c>
    </row>
    <row r="17">
      <c r="A17" s="3">
        <v>45957.0</v>
      </c>
      <c r="B17" s="4">
        <v>456.56</v>
      </c>
    </row>
    <row r="18">
      <c r="A18" s="3">
        <v>45950.0</v>
      </c>
      <c r="B18" s="4">
        <v>433.72</v>
      </c>
    </row>
    <row r="19">
      <c r="A19" s="3">
        <v>45943.0</v>
      </c>
      <c r="B19" s="4">
        <v>439.31</v>
      </c>
    </row>
    <row r="20">
      <c r="A20" s="3">
        <v>45936.0</v>
      </c>
      <c r="B20" s="4">
        <v>413.49</v>
      </c>
    </row>
    <row r="21">
      <c r="A21" s="3">
        <v>45929.0</v>
      </c>
      <c r="B21" s="4">
        <v>429.83</v>
      </c>
    </row>
    <row r="22">
      <c r="A22" s="3">
        <v>45922.0</v>
      </c>
      <c r="B22" s="4">
        <v>440.4</v>
      </c>
    </row>
    <row r="23">
      <c r="A23" s="3">
        <v>45915.0</v>
      </c>
      <c r="B23" s="4">
        <v>426.07</v>
      </c>
    </row>
    <row r="24">
      <c r="A24" s="3">
        <v>45908.0</v>
      </c>
      <c r="B24" s="4">
        <v>395.94</v>
      </c>
    </row>
    <row r="25">
      <c r="A25" s="3">
        <v>45901.0</v>
      </c>
      <c r="B25" s="4">
        <v>350.84</v>
      </c>
    </row>
    <row r="26">
      <c r="A26" s="3">
        <v>45894.0</v>
      </c>
      <c r="B26" s="4">
        <v>333.87</v>
      </c>
    </row>
    <row r="27">
      <c r="A27" s="3">
        <v>45887.0</v>
      </c>
      <c r="B27" s="4">
        <v>340.01</v>
      </c>
    </row>
    <row r="28">
      <c r="A28" s="3">
        <v>45880.0</v>
      </c>
      <c r="B28" s="4">
        <v>330.56</v>
      </c>
    </row>
    <row r="29">
      <c r="A29" s="3">
        <v>45873.0</v>
      </c>
      <c r="B29" s="4">
        <v>329.65</v>
      </c>
    </row>
    <row r="30">
      <c r="A30" s="3">
        <v>45866.0</v>
      </c>
      <c r="B30" s="4">
        <v>302.63</v>
      </c>
    </row>
    <row r="31">
      <c r="A31" s="3">
        <v>45859.0</v>
      </c>
      <c r="B31" s="4">
        <v>316.06</v>
      </c>
    </row>
    <row r="32">
      <c r="A32" s="3">
        <v>45852.0</v>
      </c>
      <c r="B32" s="4">
        <v>329.65</v>
      </c>
    </row>
    <row r="33">
      <c r="A33" s="3">
        <v>45845.0</v>
      </c>
      <c r="B33" s="4">
        <v>313.51</v>
      </c>
    </row>
    <row r="34">
      <c r="A34" s="3">
        <v>45838.0</v>
      </c>
      <c r="B34" s="4">
        <v>315.35</v>
      </c>
    </row>
    <row r="35">
      <c r="A35" s="3">
        <v>45831.0</v>
      </c>
      <c r="B35" s="4">
        <v>323.63</v>
      </c>
    </row>
    <row r="36">
      <c r="A36" s="3">
        <v>45824.0</v>
      </c>
      <c r="B36" s="4">
        <v>322.16</v>
      </c>
    </row>
    <row r="37">
      <c r="A37" s="3">
        <v>45817.0</v>
      </c>
      <c r="B37" s="4">
        <v>325.31</v>
      </c>
    </row>
    <row r="38">
      <c r="A38" s="3">
        <v>45810.0</v>
      </c>
      <c r="B38" s="4">
        <v>295.14</v>
      </c>
    </row>
    <row r="39">
      <c r="A39" s="3">
        <v>45803.0</v>
      </c>
      <c r="B39" s="4">
        <v>346.46</v>
      </c>
    </row>
    <row r="40">
      <c r="A40" s="3">
        <v>45796.0</v>
      </c>
      <c r="B40" s="4">
        <v>339.34</v>
      </c>
    </row>
    <row r="41">
      <c r="A41" s="3">
        <v>45789.0</v>
      </c>
      <c r="B41" s="4">
        <v>349.98</v>
      </c>
    </row>
    <row r="42">
      <c r="A42" s="3">
        <v>45782.0</v>
      </c>
      <c r="B42" s="4">
        <v>298.26</v>
      </c>
    </row>
    <row r="43">
      <c r="A43" s="3">
        <v>45775.0</v>
      </c>
      <c r="B43" s="4">
        <v>287.21</v>
      </c>
    </row>
    <row r="44">
      <c r="A44" s="3">
        <v>45768.0</v>
      </c>
      <c r="B44" s="4">
        <v>284.95</v>
      </c>
    </row>
    <row r="45">
      <c r="A45" s="3">
        <v>45761.0</v>
      </c>
      <c r="B45" s="4">
        <v>241.37</v>
      </c>
    </row>
    <row r="46">
      <c r="A46" s="3">
        <v>45754.0</v>
      </c>
      <c r="B46" s="4">
        <v>252.31</v>
      </c>
    </row>
    <row r="47">
      <c r="A47" s="3">
        <v>45747.0</v>
      </c>
      <c r="B47" s="4">
        <v>239.43</v>
      </c>
    </row>
    <row r="48">
      <c r="A48" s="3">
        <v>45740.0</v>
      </c>
      <c r="B48" s="4">
        <v>263.55</v>
      </c>
    </row>
    <row r="49">
      <c r="A49" s="3">
        <v>45733.0</v>
      </c>
      <c r="B49" s="4">
        <v>248.71</v>
      </c>
    </row>
    <row r="50">
      <c r="A50" s="3">
        <v>45726.0</v>
      </c>
      <c r="B50" s="4">
        <v>249.98</v>
      </c>
    </row>
    <row r="51">
      <c r="A51" s="3">
        <v>45719.0</v>
      </c>
      <c r="B51" s="4">
        <v>262.67</v>
      </c>
    </row>
    <row r="52">
      <c r="A52" s="3">
        <v>45712.0</v>
      </c>
      <c r="B52" s="4">
        <v>292.98</v>
      </c>
    </row>
    <row r="53">
      <c r="A53" s="3">
        <v>45705.0</v>
      </c>
      <c r="B53" s="4">
        <v>337.8</v>
      </c>
    </row>
    <row r="54">
      <c r="A54" s="3">
        <v>45698.0</v>
      </c>
      <c r="B54" s="4">
        <v>355.84</v>
      </c>
    </row>
    <row r="55">
      <c r="A55" s="3">
        <v>45691.0</v>
      </c>
      <c r="B55" s="4">
        <v>361.62</v>
      </c>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4</v>
      </c>
    </row>
    <row r="2">
      <c r="A2" s="3">
        <v>46058.0</v>
      </c>
      <c r="B2" s="4">
        <v>237.19</v>
      </c>
      <c r="F2" s="5" t="s">
        <v>5</v>
      </c>
    </row>
    <row r="3">
      <c r="A3" s="3">
        <v>46055.0</v>
      </c>
      <c r="B3" s="4">
        <v>237.19</v>
      </c>
    </row>
    <row r="4">
      <c r="A4" s="3">
        <v>46048.0</v>
      </c>
      <c r="B4" s="4">
        <v>226.86</v>
      </c>
      <c r="F4" s="4" t="s">
        <v>6</v>
      </c>
    </row>
    <row r="5">
      <c r="A5" s="3">
        <v>46041.0</v>
      </c>
      <c r="B5" s="4">
        <v>226.28</v>
      </c>
    </row>
    <row r="6">
      <c r="A6" s="3">
        <v>46034.0</v>
      </c>
      <c r="B6" s="4">
        <v>231.42</v>
      </c>
    </row>
    <row r="7">
      <c r="A7" s="3">
        <v>46027.0</v>
      </c>
      <c r="B7" s="4">
        <v>221.52</v>
      </c>
    </row>
    <row r="8">
      <c r="A8" s="3">
        <v>46020.0</v>
      </c>
      <c r="B8" s="4">
        <v>217.87</v>
      </c>
    </row>
    <row r="9">
      <c r="A9" s="3">
        <v>46013.0</v>
      </c>
      <c r="B9" s="4">
        <v>216.62</v>
      </c>
    </row>
    <row r="10">
      <c r="A10" s="3">
        <v>46006.0</v>
      </c>
      <c r="B10" s="4">
        <v>219.38</v>
      </c>
    </row>
    <row r="11">
      <c r="A11" s="3">
        <v>45999.0</v>
      </c>
      <c r="B11" s="4">
        <v>208.12</v>
      </c>
    </row>
    <row r="12">
      <c r="A12" s="3">
        <v>45992.0</v>
      </c>
      <c r="B12" s="4">
        <v>196.56</v>
      </c>
    </row>
    <row r="13">
      <c r="A13" s="3">
        <v>45985.0</v>
      </c>
      <c r="B13" s="4">
        <v>201.87</v>
      </c>
    </row>
    <row r="14">
      <c r="A14" s="3">
        <v>45978.0</v>
      </c>
      <c r="B14" s="4">
        <v>197.62</v>
      </c>
    </row>
    <row r="15">
      <c r="A15" s="3">
        <v>45971.0</v>
      </c>
      <c r="B15" s="4">
        <v>204.08</v>
      </c>
    </row>
    <row r="16">
      <c r="A16" s="3">
        <v>45964.0</v>
      </c>
      <c r="B16" s="4">
        <v>201.98</v>
      </c>
    </row>
    <row r="17">
      <c r="A17" s="3">
        <v>45957.0</v>
      </c>
      <c r="B17" s="4">
        <v>204.19</v>
      </c>
    </row>
    <row r="18">
      <c r="A18" s="3">
        <v>45950.0</v>
      </c>
      <c r="B18" s="4">
        <v>205.37</v>
      </c>
    </row>
    <row r="19">
      <c r="A19" s="3">
        <v>45943.0</v>
      </c>
      <c r="B19" s="4">
        <v>197.83</v>
      </c>
    </row>
    <row r="20">
      <c r="A20" s="3">
        <v>45936.0</v>
      </c>
      <c r="B20" s="4">
        <v>185.22</v>
      </c>
    </row>
    <row r="21">
      <c r="A21" s="3">
        <v>45929.0</v>
      </c>
      <c r="B21" s="4">
        <v>194.59</v>
      </c>
    </row>
    <row r="22">
      <c r="A22" s="3">
        <v>45922.0</v>
      </c>
      <c r="B22" s="4">
        <v>198.1</v>
      </c>
    </row>
    <row r="23">
      <c r="A23" s="3">
        <v>45915.0</v>
      </c>
      <c r="B23" s="4">
        <v>198.95</v>
      </c>
    </row>
    <row r="24">
      <c r="A24" s="3">
        <v>45908.0</v>
      </c>
      <c r="B24" s="4">
        <v>196.13</v>
      </c>
    </row>
    <row r="25">
      <c r="A25" s="3">
        <v>45901.0</v>
      </c>
      <c r="B25" s="4">
        <v>199.62</v>
      </c>
    </row>
    <row r="26">
      <c r="A26" s="3">
        <v>45894.0</v>
      </c>
      <c r="B26" s="4">
        <v>194.57</v>
      </c>
    </row>
    <row r="27">
      <c r="A27" s="3">
        <v>45887.0</v>
      </c>
      <c r="B27" s="4">
        <v>201.37</v>
      </c>
    </row>
    <row r="28">
      <c r="A28" s="3">
        <v>45880.0</v>
      </c>
      <c r="B28" s="4">
        <v>193.66</v>
      </c>
    </row>
    <row r="29">
      <c r="A29" s="3">
        <v>45873.0</v>
      </c>
      <c r="B29" s="4">
        <v>188.64</v>
      </c>
    </row>
    <row r="30">
      <c r="A30" s="3">
        <v>45866.0</v>
      </c>
      <c r="B30" s="4">
        <v>179.69</v>
      </c>
    </row>
    <row r="31">
      <c r="A31" s="3">
        <v>45859.0</v>
      </c>
      <c r="B31" s="4">
        <v>188.49</v>
      </c>
    </row>
    <row r="32">
      <c r="A32" s="3">
        <v>45852.0</v>
      </c>
      <c r="B32" s="4">
        <v>168.65</v>
      </c>
    </row>
    <row r="33">
      <c r="A33" s="3">
        <v>45845.0</v>
      </c>
      <c r="B33" s="4">
        <v>170.26</v>
      </c>
    </row>
    <row r="34">
      <c r="A34" s="3">
        <v>45838.0</v>
      </c>
      <c r="B34" s="4">
        <v>174.89</v>
      </c>
    </row>
    <row r="35">
      <c r="A35" s="3">
        <v>45831.0</v>
      </c>
      <c r="B35" s="4">
        <v>175.74</v>
      </c>
    </row>
    <row r="36">
      <c r="A36" s="3">
        <v>45824.0</v>
      </c>
      <c r="B36" s="4">
        <v>172.4</v>
      </c>
    </row>
    <row r="37">
      <c r="A37" s="3">
        <v>45817.0</v>
      </c>
      <c r="B37" s="4">
        <v>178.75</v>
      </c>
    </row>
    <row r="38">
      <c r="A38" s="3">
        <v>45810.0</v>
      </c>
      <c r="B38" s="4">
        <v>185.14</v>
      </c>
    </row>
    <row r="39">
      <c r="A39" s="3">
        <v>45803.0</v>
      </c>
      <c r="B39" s="4">
        <v>190.57</v>
      </c>
    </row>
    <row r="40">
      <c r="A40" s="3">
        <v>45796.0</v>
      </c>
      <c r="B40" s="4">
        <v>182.3</v>
      </c>
    </row>
    <row r="41">
      <c r="A41" s="3">
        <v>45789.0</v>
      </c>
      <c r="B41" s="4">
        <v>183.19</v>
      </c>
    </row>
    <row r="42">
      <c r="A42" s="3">
        <v>45782.0</v>
      </c>
      <c r="B42" s="4">
        <v>187.53</v>
      </c>
    </row>
    <row r="43">
      <c r="A43" s="3">
        <v>45775.0</v>
      </c>
      <c r="B43" s="4">
        <v>192.24</v>
      </c>
    </row>
    <row r="44">
      <c r="A44" s="3">
        <v>45768.0</v>
      </c>
      <c r="B44" s="4">
        <v>188.21</v>
      </c>
    </row>
    <row r="45">
      <c r="A45" s="3">
        <v>45761.0</v>
      </c>
      <c r="B45" s="4">
        <v>176.38</v>
      </c>
    </row>
    <row r="46">
      <c r="A46" s="3">
        <v>45754.0</v>
      </c>
      <c r="B46" s="4">
        <v>169.42</v>
      </c>
    </row>
    <row r="47">
      <c r="A47" s="3">
        <v>45747.0</v>
      </c>
      <c r="B47" s="4">
        <v>155.57</v>
      </c>
    </row>
    <row r="48">
      <c r="A48" s="3">
        <v>45740.0</v>
      </c>
      <c r="B48" s="4">
        <v>175.61</v>
      </c>
    </row>
    <row r="49">
      <c r="A49" s="3">
        <v>45733.0</v>
      </c>
      <c r="B49" s="4">
        <v>187.02</v>
      </c>
    </row>
    <row r="50">
      <c r="A50" s="3">
        <v>45726.0</v>
      </c>
      <c r="B50" s="4">
        <v>183.07</v>
      </c>
    </row>
    <row r="51">
      <c r="A51" s="3">
        <v>45719.0</v>
      </c>
      <c r="B51" s="4">
        <v>186.51</v>
      </c>
    </row>
    <row r="52">
      <c r="A52" s="3">
        <v>45712.0</v>
      </c>
      <c r="B52" s="4">
        <v>177.98</v>
      </c>
    </row>
    <row r="53">
      <c r="A53" s="3">
        <v>45705.0</v>
      </c>
      <c r="B53" s="4">
        <v>173.69</v>
      </c>
    </row>
    <row r="54">
      <c r="A54" s="3">
        <v>45698.0</v>
      </c>
      <c r="B54" s="4">
        <v>180.68</v>
      </c>
    </row>
    <row r="55">
      <c r="A55" s="3">
        <v>45691.0</v>
      </c>
      <c r="B55" s="4">
        <v>180.43</v>
      </c>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sheetData>
  <hyperlinks>
    <hyperlink r:id="rId1" ref="B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7" t="s">
        <v>7</v>
      </c>
      <c r="C1" s="1" t="s">
        <v>0</v>
      </c>
      <c r="D1" s="7" t="s">
        <v>7</v>
      </c>
      <c r="G1" s="1" t="s">
        <v>0</v>
      </c>
      <c r="H1" s="2" t="s">
        <v>1</v>
      </c>
      <c r="I1" s="2" t="s">
        <v>4</v>
      </c>
    </row>
    <row r="2">
      <c r="A2" s="3">
        <v>46058.0</v>
      </c>
      <c r="B2" s="4">
        <v>397.21</v>
      </c>
      <c r="C2" s="3">
        <v>46058.0</v>
      </c>
      <c r="D2" s="4">
        <v>237.19</v>
      </c>
      <c r="G2" s="3">
        <v>46055.0</v>
      </c>
      <c r="H2" s="8">
        <f t="shared" ref="H2:H54" si="1">VLOOKUP(G2,A:B,2,0)</f>
        <v>397.21</v>
      </c>
      <c r="I2" s="8">
        <f t="shared" ref="I2:I54" si="2">VLOOKUP(G2,C:D,2,0)</f>
        <v>237.19</v>
      </c>
    </row>
    <row r="3">
      <c r="A3" s="3">
        <v>46055.0</v>
      </c>
      <c r="B3" s="4">
        <v>397.21</v>
      </c>
      <c r="C3" s="3">
        <v>46055.0</v>
      </c>
      <c r="D3" s="4">
        <v>237.19</v>
      </c>
      <c r="G3" s="6">
        <f t="shared" ref="G3:G54" si="3">G2-7</f>
        <v>46048</v>
      </c>
      <c r="H3" s="8">
        <f t="shared" si="1"/>
        <v>430.41</v>
      </c>
      <c r="I3" s="8">
        <f t="shared" si="2"/>
        <v>226.86</v>
      </c>
    </row>
    <row r="4">
      <c r="A4" s="3">
        <v>46048.0</v>
      </c>
      <c r="B4" s="4">
        <v>430.41</v>
      </c>
      <c r="C4" s="3">
        <v>46048.0</v>
      </c>
      <c r="D4" s="4">
        <v>226.86</v>
      </c>
      <c r="G4" s="6">
        <f t="shared" si="3"/>
        <v>46041</v>
      </c>
      <c r="H4" s="8">
        <f t="shared" si="1"/>
        <v>449.06</v>
      </c>
      <c r="I4" s="8">
        <f t="shared" si="2"/>
        <v>226.28</v>
      </c>
    </row>
    <row r="5">
      <c r="A5" s="3">
        <v>46041.0</v>
      </c>
      <c r="B5" s="4">
        <v>449.06</v>
      </c>
      <c r="C5" s="3">
        <v>46041.0</v>
      </c>
      <c r="D5" s="4">
        <v>226.28</v>
      </c>
      <c r="G5" s="6">
        <f t="shared" si="3"/>
        <v>46034</v>
      </c>
      <c r="H5" s="8">
        <f t="shared" si="1"/>
        <v>437.5</v>
      </c>
      <c r="I5" s="8">
        <f t="shared" si="2"/>
        <v>231.42</v>
      </c>
    </row>
    <row r="6">
      <c r="A6" s="3">
        <v>46034.0</v>
      </c>
      <c r="B6" s="4">
        <v>437.5</v>
      </c>
      <c r="C6" s="3">
        <v>46034.0</v>
      </c>
      <c r="D6" s="4">
        <v>231.42</v>
      </c>
      <c r="G6" s="6">
        <f t="shared" si="3"/>
        <v>46027</v>
      </c>
      <c r="H6" s="8">
        <f t="shared" si="1"/>
        <v>445.01</v>
      </c>
      <c r="I6" s="8">
        <f t="shared" si="2"/>
        <v>221.52</v>
      </c>
    </row>
    <row r="7">
      <c r="A7" s="3">
        <v>46027.0</v>
      </c>
      <c r="B7" s="4">
        <v>445.01</v>
      </c>
      <c r="C7" s="3">
        <v>46027.0</v>
      </c>
      <c r="D7" s="4">
        <v>221.52</v>
      </c>
      <c r="G7" s="6">
        <f t="shared" si="3"/>
        <v>46020</v>
      </c>
      <c r="H7" s="8">
        <f t="shared" si="1"/>
        <v>438.07</v>
      </c>
      <c r="I7" s="8">
        <f t="shared" si="2"/>
        <v>217.87</v>
      </c>
    </row>
    <row r="8">
      <c r="A8" s="3">
        <v>46020.0</v>
      </c>
      <c r="B8" s="4">
        <v>438.07</v>
      </c>
      <c r="C8" s="3">
        <v>46020.0</v>
      </c>
      <c r="D8" s="4">
        <v>217.87</v>
      </c>
      <c r="G8" s="6">
        <f t="shared" si="3"/>
        <v>46013</v>
      </c>
      <c r="H8" s="8">
        <f t="shared" si="1"/>
        <v>475.19</v>
      </c>
      <c r="I8" s="8">
        <f t="shared" si="2"/>
        <v>216.62</v>
      </c>
    </row>
    <row r="9">
      <c r="A9" s="3">
        <v>46013.0</v>
      </c>
      <c r="B9" s="4">
        <v>475.19</v>
      </c>
      <c r="C9" s="3">
        <v>46013.0</v>
      </c>
      <c r="D9" s="4">
        <v>216.62</v>
      </c>
      <c r="G9" s="6">
        <f t="shared" si="3"/>
        <v>46006</v>
      </c>
      <c r="H9" s="8">
        <f t="shared" si="1"/>
        <v>481.2</v>
      </c>
      <c r="I9" s="8">
        <f t="shared" si="2"/>
        <v>219.38</v>
      </c>
    </row>
    <row r="10">
      <c r="A10" s="3">
        <v>46006.0</v>
      </c>
      <c r="B10" s="4">
        <v>481.2</v>
      </c>
      <c r="C10" s="3">
        <v>46006.0</v>
      </c>
      <c r="D10" s="4">
        <v>219.38</v>
      </c>
      <c r="G10" s="6">
        <f t="shared" si="3"/>
        <v>45999</v>
      </c>
      <c r="H10" s="8">
        <f t="shared" si="1"/>
        <v>458.96</v>
      </c>
      <c r="I10" s="8">
        <f t="shared" si="2"/>
        <v>208.12</v>
      </c>
    </row>
    <row r="11">
      <c r="A11" s="3">
        <v>45999.0</v>
      </c>
      <c r="B11" s="4">
        <v>458.96</v>
      </c>
      <c r="C11" s="3">
        <v>45999.0</v>
      </c>
      <c r="D11" s="4">
        <v>208.12</v>
      </c>
      <c r="G11" s="6">
        <f t="shared" si="3"/>
        <v>45992</v>
      </c>
      <c r="H11" s="8">
        <f t="shared" si="1"/>
        <v>455</v>
      </c>
      <c r="I11" s="8">
        <f t="shared" si="2"/>
        <v>196.56</v>
      </c>
    </row>
    <row r="12">
      <c r="A12" s="3">
        <v>45992.0</v>
      </c>
      <c r="B12" s="4">
        <v>455.0</v>
      </c>
      <c r="C12" s="3">
        <v>45992.0</v>
      </c>
      <c r="D12" s="4">
        <v>196.56</v>
      </c>
      <c r="G12" s="6">
        <f t="shared" si="3"/>
        <v>45985</v>
      </c>
      <c r="H12" s="8">
        <f t="shared" si="1"/>
        <v>430.17</v>
      </c>
      <c r="I12" s="8">
        <f t="shared" si="2"/>
        <v>201.87</v>
      </c>
    </row>
    <row r="13">
      <c r="A13" s="3">
        <v>45985.0</v>
      </c>
      <c r="B13" s="4">
        <v>430.17</v>
      </c>
      <c r="C13" s="3">
        <v>45985.0</v>
      </c>
      <c r="D13" s="4">
        <v>201.87</v>
      </c>
      <c r="G13" s="6">
        <f t="shared" si="3"/>
        <v>45978</v>
      </c>
      <c r="H13" s="8">
        <f t="shared" si="1"/>
        <v>391.09</v>
      </c>
      <c r="I13" s="8">
        <f t="shared" si="2"/>
        <v>197.62</v>
      </c>
    </row>
    <row r="14">
      <c r="A14" s="3">
        <v>45978.0</v>
      </c>
      <c r="B14" s="4">
        <v>391.09</v>
      </c>
      <c r="C14" s="3">
        <v>45978.0</v>
      </c>
      <c r="D14" s="4">
        <v>197.62</v>
      </c>
      <c r="G14" s="6">
        <f t="shared" si="3"/>
        <v>45971</v>
      </c>
      <c r="H14" s="8">
        <f t="shared" si="1"/>
        <v>404.35</v>
      </c>
      <c r="I14" s="8">
        <f t="shared" si="2"/>
        <v>204.08</v>
      </c>
    </row>
    <row r="15">
      <c r="A15" s="3">
        <v>45971.0</v>
      </c>
      <c r="B15" s="4">
        <v>404.35</v>
      </c>
      <c r="C15" s="3">
        <v>45971.0</v>
      </c>
      <c r="D15" s="4">
        <v>204.08</v>
      </c>
      <c r="G15" s="6">
        <f t="shared" si="3"/>
        <v>45964</v>
      </c>
      <c r="H15" s="8">
        <f t="shared" si="1"/>
        <v>429.52</v>
      </c>
      <c r="I15" s="8">
        <f t="shared" si="2"/>
        <v>201.98</v>
      </c>
    </row>
    <row r="16">
      <c r="A16" s="3">
        <v>45964.0</v>
      </c>
      <c r="B16" s="4">
        <v>429.52</v>
      </c>
      <c r="C16" s="3">
        <v>45964.0</v>
      </c>
      <c r="D16" s="4">
        <v>201.98</v>
      </c>
      <c r="G16" s="6">
        <f t="shared" si="3"/>
        <v>45957</v>
      </c>
      <c r="H16" s="8">
        <f t="shared" si="1"/>
        <v>456.56</v>
      </c>
      <c r="I16" s="8">
        <f t="shared" si="2"/>
        <v>204.19</v>
      </c>
    </row>
    <row r="17">
      <c r="A17" s="3">
        <v>45957.0</v>
      </c>
      <c r="B17" s="4">
        <v>456.56</v>
      </c>
      <c r="C17" s="3">
        <v>45957.0</v>
      </c>
      <c r="D17" s="4">
        <v>204.19</v>
      </c>
      <c r="G17" s="6">
        <f t="shared" si="3"/>
        <v>45950</v>
      </c>
      <c r="H17" s="8">
        <f t="shared" si="1"/>
        <v>433.72</v>
      </c>
      <c r="I17" s="8">
        <f t="shared" si="2"/>
        <v>205.37</v>
      </c>
    </row>
    <row r="18">
      <c r="A18" s="3">
        <v>45950.0</v>
      </c>
      <c r="B18" s="4">
        <v>433.72</v>
      </c>
      <c r="C18" s="3">
        <v>45950.0</v>
      </c>
      <c r="D18" s="4">
        <v>205.37</v>
      </c>
      <c r="G18" s="6">
        <f t="shared" si="3"/>
        <v>45943</v>
      </c>
      <c r="H18" s="8">
        <f t="shared" si="1"/>
        <v>439.31</v>
      </c>
      <c r="I18" s="8">
        <f t="shared" si="2"/>
        <v>197.83</v>
      </c>
    </row>
    <row r="19">
      <c r="A19" s="3">
        <v>45943.0</v>
      </c>
      <c r="B19" s="4">
        <v>439.31</v>
      </c>
      <c r="C19" s="3">
        <v>45943.0</v>
      </c>
      <c r="D19" s="4">
        <v>197.83</v>
      </c>
      <c r="G19" s="6">
        <f t="shared" si="3"/>
        <v>45936</v>
      </c>
      <c r="H19" s="8">
        <f t="shared" si="1"/>
        <v>413.49</v>
      </c>
      <c r="I19" s="8">
        <f t="shared" si="2"/>
        <v>185.22</v>
      </c>
    </row>
    <row r="20">
      <c r="A20" s="3">
        <v>45936.0</v>
      </c>
      <c r="B20" s="4">
        <v>413.49</v>
      </c>
      <c r="C20" s="3">
        <v>45936.0</v>
      </c>
      <c r="D20" s="4">
        <v>185.22</v>
      </c>
      <c r="G20" s="6">
        <f t="shared" si="3"/>
        <v>45929</v>
      </c>
      <c r="H20" s="8">
        <f t="shared" si="1"/>
        <v>429.83</v>
      </c>
      <c r="I20" s="8">
        <f t="shared" si="2"/>
        <v>194.59</v>
      </c>
    </row>
    <row r="21">
      <c r="A21" s="3">
        <v>45929.0</v>
      </c>
      <c r="B21" s="4">
        <v>429.83</v>
      </c>
      <c r="C21" s="3">
        <v>45929.0</v>
      </c>
      <c r="D21" s="4">
        <v>194.59</v>
      </c>
      <c r="G21" s="6">
        <f t="shared" si="3"/>
        <v>45922</v>
      </c>
      <c r="H21" s="8">
        <f t="shared" si="1"/>
        <v>440.4</v>
      </c>
      <c r="I21" s="8">
        <f t="shared" si="2"/>
        <v>198.1</v>
      </c>
    </row>
    <row r="22">
      <c r="A22" s="3">
        <v>45922.0</v>
      </c>
      <c r="B22" s="4">
        <v>440.4</v>
      </c>
      <c r="C22" s="3">
        <v>45922.0</v>
      </c>
      <c r="D22" s="4">
        <v>198.1</v>
      </c>
      <c r="G22" s="6">
        <f t="shared" si="3"/>
        <v>45915</v>
      </c>
      <c r="H22" s="8">
        <f t="shared" si="1"/>
        <v>426.07</v>
      </c>
      <c r="I22" s="8">
        <f t="shared" si="2"/>
        <v>198.95</v>
      </c>
    </row>
    <row r="23">
      <c r="A23" s="3">
        <v>45915.0</v>
      </c>
      <c r="B23" s="4">
        <v>426.07</v>
      </c>
      <c r="C23" s="3">
        <v>45915.0</v>
      </c>
      <c r="D23" s="4">
        <v>198.95</v>
      </c>
      <c r="G23" s="6">
        <f t="shared" si="3"/>
        <v>45908</v>
      </c>
      <c r="H23" s="8">
        <f t="shared" si="1"/>
        <v>395.94</v>
      </c>
      <c r="I23" s="8">
        <f t="shared" si="2"/>
        <v>196.13</v>
      </c>
    </row>
    <row r="24">
      <c r="A24" s="3">
        <v>45908.0</v>
      </c>
      <c r="B24" s="4">
        <v>395.94</v>
      </c>
      <c r="C24" s="3">
        <v>45908.0</v>
      </c>
      <c r="D24" s="4">
        <v>196.13</v>
      </c>
      <c r="G24" s="6">
        <f t="shared" si="3"/>
        <v>45901</v>
      </c>
      <c r="H24" s="8">
        <f t="shared" si="1"/>
        <v>350.84</v>
      </c>
      <c r="I24" s="8">
        <f t="shared" si="2"/>
        <v>199.62</v>
      </c>
    </row>
    <row r="25">
      <c r="A25" s="3">
        <v>45901.0</v>
      </c>
      <c r="B25" s="4">
        <v>350.84</v>
      </c>
      <c r="C25" s="3">
        <v>45901.0</v>
      </c>
      <c r="D25" s="4">
        <v>199.62</v>
      </c>
      <c r="G25" s="6">
        <f t="shared" si="3"/>
        <v>45894</v>
      </c>
      <c r="H25" s="8">
        <f t="shared" si="1"/>
        <v>333.87</v>
      </c>
      <c r="I25" s="8">
        <f t="shared" si="2"/>
        <v>194.57</v>
      </c>
    </row>
    <row r="26">
      <c r="A26" s="3">
        <v>45894.0</v>
      </c>
      <c r="B26" s="4">
        <v>333.87</v>
      </c>
      <c r="C26" s="3">
        <v>45894.0</v>
      </c>
      <c r="D26" s="4">
        <v>194.57</v>
      </c>
      <c r="G26" s="6">
        <f t="shared" si="3"/>
        <v>45887</v>
      </c>
      <c r="H26" s="8">
        <f t="shared" si="1"/>
        <v>340.01</v>
      </c>
      <c r="I26" s="8">
        <f t="shared" si="2"/>
        <v>201.37</v>
      </c>
    </row>
    <row r="27">
      <c r="A27" s="3">
        <v>45887.0</v>
      </c>
      <c r="B27" s="4">
        <v>340.01</v>
      </c>
      <c r="C27" s="3">
        <v>45887.0</v>
      </c>
      <c r="D27" s="4">
        <v>201.37</v>
      </c>
      <c r="G27" s="6">
        <f t="shared" si="3"/>
        <v>45880</v>
      </c>
      <c r="H27" s="8">
        <f t="shared" si="1"/>
        <v>330.56</v>
      </c>
      <c r="I27" s="8">
        <f t="shared" si="2"/>
        <v>193.66</v>
      </c>
    </row>
    <row r="28">
      <c r="A28" s="3">
        <v>45880.0</v>
      </c>
      <c r="B28" s="4">
        <v>330.56</v>
      </c>
      <c r="C28" s="3">
        <v>45880.0</v>
      </c>
      <c r="D28" s="4">
        <v>193.66</v>
      </c>
      <c r="G28" s="6">
        <f t="shared" si="3"/>
        <v>45873</v>
      </c>
      <c r="H28" s="8">
        <f t="shared" si="1"/>
        <v>329.65</v>
      </c>
      <c r="I28" s="8">
        <f t="shared" si="2"/>
        <v>188.64</v>
      </c>
    </row>
    <row r="29">
      <c r="A29" s="3">
        <v>45873.0</v>
      </c>
      <c r="B29" s="4">
        <v>329.65</v>
      </c>
      <c r="C29" s="3">
        <v>45873.0</v>
      </c>
      <c r="D29" s="4">
        <v>188.64</v>
      </c>
      <c r="G29" s="6">
        <f t="shared" si="3"/>
        <v>45866</v>
      </c>
      <c r="H29" s="8">
        <f t="shared" si="1"/>
        <v>302.63</v>
      </c>
      <c r="I29" s="8">
        <f t="shared" si="2"/>
        <v>179.69</v>
      </c>
    </row>
    <row r="30">
      <c r="A30" s="3">
        <v>45866.0</v>
      </c>
      <c r="B30" s="4">
        <v>302.63</v>
      </c>
      <c r="C30" s="3">
        <v>45866.0</v>
      </c>
      <c r="D30" s="4">
        <v>179.69</v>
      </c>
      <c r="G30" s="6">
        <f t="shared" si="3"/>
        <v>45859</v>
      </c>
      <c r="H30" s="8">
        <f t="shared" si="1"/>
        <v>316.06</v>
      </c>
      <c r="I30" s="8">
        <f t="shared" si="2"/>
        <v>188.49</v>
      </c>
    </row>
    <row r="31">
      <c r="A31" s="3">
        <v>45859.0</v>
      </c>
      <c r="B31" s="4">
        <v>316.06</v>
      </c>
      <c r="C31" s="3">
        <v>45859.0</v>
      </c>
      <c r="D31" s="4">
        <v>188.49</v>
      </c>
      <c r="G31" s="6">
        <f t="shared" si="3"/>
        <v>45852</v>
      </c>
      <c r="H31" s="8">
        <f t="shared" si="1"/>
        <v>329.65</v>
      </c>
      <c r="I31" s="8">
        <f t="shared" si="2"/>
        <v>168.65</v>
      </c>
    </row>
    <row r="32">
      <c r="A32" s="3">
        <v>45852.0</v>
      </c>
      <c r="B32" s="4">
        <v>329.65</v>
      </c>
      <c r="C32" s="3">
        <v>45852.0</v>
      </c>
      <c r="D32" s="4">
        <v>168.65</v>
      </c>
      <c r="G32" s="6">
        <f t="shared" si="3"/>
        <v>45845</v>
      </c>
      <c r="H32" s="8">
        <f t="shared" si="1"/>
        <v>313.51</v>
      </c>
      <c r="I32" s="8">
        <f t="shared" si="2"/>
        <v>170.26</v>
      </c>
    </row>
    <row r="33">
      <c r="A33" s="3">
        <v>45845.0</v>
      </c>
      <c r="B33" s="4">
        <v>313.51</v>
      </c>
      <c r="C33" s="3">
        <v>45845.0</v>
      </c>
      <c r="D33" s="4">
        <v>170.26</v>
      </c>
      <c r="G33" s="6">
        <f t="shared" si="3"/>
        <v>45838</v>
      </c>
      <c r="H33" s="8">
        <f t="shared" si="1"/>
        <v>315.35</v>
      </c>
      <c r="I33" s="8">
        <f t="shared" si="2"/>
        <v>174.89</v>
      </c>
    </row>
    <row r="34">
      <c r="A34" s="3">
        <v>45838.0</v>
      </c>
      <c r="B34" s="4">
        <v>315.35</v>
      </c>
      <c r="C34" s="3">
        <v>45838.0</v>
      </c>
      <c r="D34" s="4">
        <v>174.89</v>
      </c>
      <c r="G34" s="6">
        <f t="shared" si="3"/>
        <v>45831</v>
      </c>
      <c r="H34" s="8">
        <f t="shared" si="1"/>
        <v>323.63</v>
      </c>
      <c r="I34" s="8">
        <f t="shared" si="2"/>
        <v>175.74</v>
      </c>
    </row>
    <row r="35">
      <c r="A35" s="3">
        <v>45831.0</v>
      </c>
      <c r="B35" s="4">
        <v>323.63</v>
      </c>
      <c r="C35" s="3">
        <v>45831.0</v>
      </c>
      <c r="D35" s="4">
        <v>175.74</v>
      </c>
      <c r="G35" s="6">
        <f t="shared" si="3"/>
        <v>45824</v>
      </c>
      <c r="H35" s="8">
        <f t="shared" si="1"/>
        <v>322.16</v>
      </c>
      <c r="I35" s="8">
        <f t="shared" si="2"/>
        <v>172.4</v>
      </c>
    </row>
    <row r="36">
      <c r="A36" s="3">
        <v>45824.0</v>
      </c>
      <c r="B36" s="4">
        <v>322.16</v>
      </c>
      <c r="C36" s="3">
        <v>45824.0</v>
      </c>
      <c r="D36" s="4">
        <v>172.4</v>
      </c>
      <c r="G36" s="6">
        <f t="shared" si="3"/>
        <v>45817</v>
      </c>
      <c r="H36" s="8">
        <f t="shared" si="1"/>
        <v>325.31</v>
      </c>
      <c r="I36" s="8">
        <f t="shared" si="2"/>
        <v>178.75</v>
      </c>
    </row>
    <row r="37">
      <c r="A37" s="3">
        <v>45817.0</v>
      </c>
      <c r="B37" s="4">
        <v>325.31</v>
      </c>
      <c r="C37" s="3">
        <v>45817.0</v>
      </c>
      <c r="D37" s="4">
        <v>178.75</v>
      </c>
      <c r="G37" s="6">
        <f t="shared" si="3"/>
        <v>45810</v>
      </c>
      <c r="H37" s="8">
        <f t="shared" si="1"/>
        <v>295.14</v>
      </c>
      <c r="I37" s="8">
        <f t="shared" si="2"/>
        <v>185.14</v>
      </c>
    </row>
    <row r="38">
      <c r="A38" s="3">
        <v>45810.0</v>
      </c>
      <c r="B38" s="4">
        <v>295.14</v>
      </c>
      <c r="C38" s="3">
        <v>45810.0</v>
      </c>
      <c r="D38" s="4">
        <v>185.14</v>
      </c>
      <c r="G38" s="6">
        <f t="shared" si="3"/>
        <v>45803</v>
      </c>
      <c r="H38" s="8">
        <f t="shared" si="1"/>
        <v>346.46</v>
      </c>
      <c r="I38" s="8">
        <f t="shared" si="2"/>
        <v>190.57</v>
      </c>
    </row>
    <row r="39">
      <c r="A39" s="3">
        <v>45803.0</v>
      </c>
      <c r="B39" s="4">
        <v>346.46</v>
      </c>
      <c r="C39" s="3">
        <v>45803.0</v>
      </c>
      <c r="D39" s="4">
        <v>190.57</v>
      </c>
      <c r="G39" s="6">
        <f t="shared" si="3"/>
        <v>45796</v>
      </c>
      <c r="H39" s="8">
        <f t="shared" si="1"/>
        <v>339.34</v>
      </c>
      <c r="I39" s="8">
        <f t="shared" si="2"/>
        <v>182.3</v>
      </c>
    </row>
    <row r="40">
      <c r="A40" s="3">
        <v>45796.0</v>
      </c>
      <c r="B40" s="4">
        <v>339.34</v>
      </c>
      <c r="C40" s="3">
        <v>45796.0</v>
      </c>
      <c r="D40" s="4">
        <v>182.3</v>
      </c>
      <c r="G40" s="6">
        <f t="shared" si="3"/>
        <v>45789</v>
      </c>
      <c r="H40" s="8">
        <f t="shared" si="1"/>
        <v>349.98</v>
      </c>
      <c r="I40" s="8">
        <f t="shared" si="2"/>
        <v>183.19</v>
      </c>
    </row>
    <row r="41">
      <c r="A41" s="3">
        <v>45789.0</v>
      </c>
      <c r="B41" s="4">
        <v>349.98</v>
      </c>
      <c r="C41" s="3">
        <v>45789.0</v>
      </c>
      <c r="D41" s="4">
        <v>183.19</v>
      </c>
      <c r="G41" s="6">
        <f t="shared" si="3"/>
        <v>45782</v>
      </c>
      <c r="H41" s="8">
        <f t="shared" si="1"/>
        <v>298.26</v>
      </c>
      <c r="I41" s="8">
        <f t="shared" si="2"/>
        <v>187.53</v>
      </c>
    </row>
    <row r="42">
      <c r="A42" s="3">
        <v>45782.0</v>
      </c>
      <c r="B42" s="4">
        <v>298.26</v>
      </c>
      <c r="C42" s="3">
        <v>45782.0</v>
      </c>
      <c r="D42" s="4">
        <v>187.53</v>
      </c>
      <c r="G42" s="6">
        <f t="shared" si="3"/>
        <v>45775</v>
      </c>
      <c r="H42" s="8">
        <f t="shared" si="1"/>
        <v>287.21</v>
      </c>
      <c r="I42" s="8">
        <f t="shared" si="2"/>
        <v>192.24</v>
      </c>
    </row>
    <row r="43">
      <c r="A43" s="3">
        <v>45775.0</v>
      </c>
      <c r="B43" s="4">
        <v>287.21</v>
      </c>
      <c r="C43" s="3">
        <v>45775.0</v>
      </c>
      <c r="D43" s="4">
        <v>192.24</v>
      </c>
      <c r="G43" s="6">
        <f t="shared" si="3"/>
        <v>45768</v>
      </c>
      <c r="H43" s="8">
        <f t="shared" si="1"/>
        <v>284.95</v>
      </c>
      <c r="I43" s="8">
        <f t="shared" si="2"/>
        <v>188.21</v>
      </c>
    </row>
    <row r="44">
      <c r="A44" s="3">
        <v>45768.0</v>
      </c>
      <c r="B44" s="4">
        <v>284.95</v>
      </c>
      <c r="C44" s="3">
        <v>45768.0</v>
      </c>
      <c r="D44" s="4">
        <v>188.21</v>
      </c>
      <c r="G44" s="6">
        <f t="shared" si="3"/>
        <v>45761</v>
      </c>
      <c r="H44" s="8">
        <f t="shared" si="1"/>
        <v>241.37</v>
      </c>
      <c r="I44" s="8">
        <f t="shared" si="2"/>
        <v>176.38</v>
      </c>
    </row>
    <row r="45">
      <c r="A45" s="3">
        <v>45761.0</v>
      </c>
      <c r="B45" s="4">
        <v>241.37</v>
      </c>
      <c r="C45" s="3">
        <v>45761.0</v>
      </c>
      <c r="D45" s="4">
        <v>176.38</v>
      </c>
      <c r="G45" s="6">
        <f t="shared" si="3"/>
        <v>45754</v>
      </c>
      <c r="H45" s="8">
        <f t="shared" si="1"/>
        <v>252.31</v>
      </c>
      <c r="I45" s="8">
        <f t="shared" si="2"/>
        <v>169.42</v>
      </c>
    </row>
    <row r="46">
      <c r="A46" s="3">
        <v>45754.0</v>
      </c>
      <c r="B46" s="4">
        <v>252.31</v>
      </c>
      <c r="C46" s="3">
        <v>45754.0</v>
      </c>
      <c r="D46" s="4">
        <v>169.42</v>
      </c>
      <c r="G46" s="6">
        <f t="shared" si="3"/>
        <v>45747</v>
      </c>
      <c r="H46" s="8">
        <f t="shared" si="1"/>
        <v>239.43</v>
      </c>
      <c r="I46" s="8">
        <f t="shared" si="2"/>
        <v>155.57</v>
      </c>
    </row>
    <row r="47">
      <c r="A47" s="3">
        <v>45747.0</v>
      </c>
      <c r="B47" s="4">
        <v>239.43</v>
      </c>
      <c r="C47" s="3">
        <v>45747.0</v>
      </c>
      <c r="D47" s="4">
        <v>155.57</v>
      </c>
      <c r="G47" s="6">
        <f t="shared" si="3"/>
        <v>45740</v>
      </c>
      <c r="H47" s="8">
        <f t="shared" si="1"/>
        <v>263.55</v>
      </c>
      <c r="I47" s="8">
        <f t="shared" si="2"/>
        <v>175.61</v>
      </c>
    </row>
    <row r="48">
      <c r="A48" s="3">
        <v>45740.0</v>
      </c>
      <c r="B48" s="4">
        <v>263.55</v>
      </c>
      <c r="C48" s="3">
        <v>45740.0</v>
      </c>
      <c r="D48" s="4">
        <v>175.61</v>
      </c>
      <c r="G48" s="6">
        <f t="shared" si="3"/>
        <v>45733</v>
      </c>
      <c r="H48" s="8">
        <f t="shared" si="1"/>
        <v>248.71</v>
      </c>
      <c r="I48" s="8">
        <f t="shared" si="2"/>
        <v>187.02</v>
      </c>
    </row>
    <row r="49">
      <c r="A49" s="3">
        <v>45733.0</v>
      </c>
      <c r="B49" s="4">
        <v>248.71</v>
      </c>
      <c r="C49" s="3">
        <v>45733.0</v>
      </c>
      <c r="D49" s="4">
        <v>187.02</v>
      </c>
      <c r="G49" s="6">
        <f t="shared" si="3"/>
        <v>45726</v>
      </c>
      <c r="H49" s="8">
        <f t="shared" si="1"/>
        <v>249.98</v>
      </c>
      <c r="I49" s="8">
        <f t="shared" si="2"/>
        <v>183.07</v>
      </c>
    </row>
    <row r="50">
      <c r="A50" s="3">
        <v>45726.0</v>
      </c>
      <c r="B50" s="4">
        <v>249.98</v>
      </c>
      <c r="C50" s="3">
        <v>45726.0</v>
      </c>
      <c r="D50" s="4">
        <v>183.07</v>
      </c>
      <c r="G50" s="6">
        <f t="shared" si="3"/>
        <v>45719</v>
      </c>
      <c r="H50" s="8">
        <f t="shared" si="1"/>
        <v>262.67</v>
      </c>
      <c r="I50" s="8">
        <f t="shared" si="2"/>
        <v>186.51</v>
      </c>
    </row>
    <row r="51">
      <c r="A51" s="3">
        <v>45719.0</v>
      </c>
      <c r="B51" s="4">
        <v>262.67</v>
      </c>
      <c r="C51" s="3">
        <v>45719.0</v>
      </c>
      <c r="D51" s="4">
        <v>186.51</v>
      </c>
      <c r="G51" s="6">
        <f t="shared" si="3"/>
        <v>45712</v>
      </c>
      <c r="H51" s="8">
        <f t="shared" si="1"/>
        <v>292.98</v>
      </c>
      <c r="I51" s="8">
        <f t="shared" si="2"/>
        <v>177.98</v>
      </c>
    </row>
    <row r="52">
      <c r="A52" s="3">
        <v>45712.0</v>
      </c>
      <c r="B52" s="4">
        <v>292.98</v>
      </c>
      <c r="C52" s="3">
        <v>45712.0</v>
      </c>
      <c r="D52" s="4">
        <v>177.98</v>
      </c>
      <c r="G52" s="6">
        <f t="shared" si="3"/>
        <v>45705</v>
      </c>
      <c r="H52" s="8">
        <f t="shared" si="1"/>
        <v>337.8</v>
      </c>
      <c r="I52" s="8">
        <f t="shared" si="2"/>
        <v>173.69</v>
      </c>
    </row>
    <row r="53">
      <c r="A53" s="3">
        <v>45705.0</v>
      </c>
      <c r="B53" s="4">
        <v>337.8</v>
      </c>
      <c r="C53" s="3">
        <v>45705.0</v>
      </c>
      <c r="D53" s="4">
        <v>173.69</v>
      </c>
      <c r="G53" s="6">
        <f t="shared" si="3"/>
        <v>45698</v>
      </c>
      <c r="H53" s="8">
        <f t="shared" si="1"/>
        <v>355.84</v>
      </c>
      <c r="I53" s="8">
        <f t="shared" si="2"/>
        <v>180.68</v>
      </c>
    </row>
    <row r="54">
      <c r="A54" s="3">
        <v>45698.0</v>
      </c>
      <c r="B54" s="4">
        <v>355.84</v>
      </c>
      <c r="C54" s="3">
        <v>45698.0</v>
      </c>
      <c r="D54" s="4">
        <v>180.68</v>
      </c>
      <c r="G54" s="6">
        <f t="shared" si="3"/>
        <v>45691</v>
      </c>
      <c r="H54" s="8">
        <f t="shared" si="1"/>
        <v>361.62</v>
      </c>
      <c r="I54" s="8">
        <f t="shared" si="2"/>
        <v>180.43</v>
      </c>
    </row>
    <row r="55">
      <c r="A55" s="3">
        <v>45691.0</v>
      </c>
      <c r="B55" s="4">
        <v>361.62</v>
      </c>
      <c r="C55" s="3">
        <v>45691.0</v>
      </c>
      <c r="D55" s="4">
        <v>180.43</v>
      </c>
    </row>
    <row r="56">
      <c r="A56" s="6"/>
      <c r="C56" s="6"/>
    </row>
    <row r="57">
      <c r="A57" s="6"/>
      <c r="C57" s="6"/>
    </row>
    <row r="58">
      <c r="A58" s="6"/>
      <c r="C58" s="6"/>
    </row>
    <row r="59">
      <c r="A59" s="6"/>
      <c r="C59" s="6"/>
    </row>
    <row r="60">
      <c r="A60" s="6"/>
      <c r="C60" s="6"/>
    </row>
    <row r="61">
      <c r="A61" s="6"/>
      <c r="C61" s="6"/>
    </row>
    <row r="62">
      <c r="A62" s="6"/>
      <c r="C62" s="6"/>
    </row>
    <row r="63">
      <c r="A63" s="6"/>
      <c r="C63" s="6"/>
    </row>
    <row r="64">
      <c r="A64" s="6"/>
      <c r="C64" s="6"/>
    </row>
    <row r="65">
      <c r="A65" s="6"/>
      <c r="C65" s="6"/>
    </row>
    <row r="66">
      <c r="A66" s="6"/>
      <c r="C66" s="6"/>
    </row>
    <row r="67">
      <c r="A67" s="6"/>
      <c r="C67" s="6"/>
    </row>
    <row r="68">
      <c r="A68" s="6"/>
      <c r="C68" s="6"/>
    </row>
    <row r="69">
      <c r="A69" s="6"/>
      <c r="C69" s="6"/>
    </row>
    <row r="70">
      <c r="A70" s="6"/>
      <c r="C70" s="6"/>
    </row>
    <row r="71">
      <c r="A71" s="6"/>
      <c r="C71" s="6"/>
    </row>
    <row r="72">
      <c r="A72" s="6"/>
      <c r="C72" s="6"/>
    </row>
    <row r="73">
      <c r="A73" s="6"/>
      <c r="C73" s="6"/>
    </row>
    <row r="74">
      <c r="A74" s="6"/>
      <c r="C74" s="6"/>
    </row>
    <row r="75">
      <c r="A75" s="6"/>
      <c r="C75" s="6"/>
    </row>
    <row r="76">
      <c r="A76" s="6"/>
      <c r="C76" s="6"/>
    </row>
    <row r="77">
      <c r="A77" s="6"/>
      <c r="C77" s="6"/>
    </row>
    <row r="78">
      <c r="A78" s="6"/>
      <c r="C78" s="6"/>
    </row>
    <row r="79">
      <c r="A79" s="6"/>
      <c r="C79" s="6"/>
    </row>
    <row r="80">
      <c r="A80" s="6"/>
      <c r="C80" s="6"/>
    </row>
    <row r="81">
      <c r="A81" s="6"/>
      <c r="C81" s="6"/>
    </row>
    <row r="82">
      <c r="A82" s="6"/>
      <c r="C82" s="6"/>
    </row>
    <row r="83">
      <c r="A83" s="6"/>
      <c r="C83" s="6"/>
    </row>
    <row r="84">
      <c r="A84" s="6"/>
      <c r="C84" s="6"/>
    </row>
    <row r="85">
      <c r="A85" s="6"/>
      <c r="C85" s="6"/>
    </row>
    <row r="86">
      <c r="A86" s="6"/>
      <c r="C86" s="6"/>
    </row>
    <row r="87">
      <c r="A87" s="6"/>
      <c r="C87" s="6"/>
    </row>
    <row r="88">
      <c r="A88" s="6"/>
      <c r="C88" s="6"/>
    </row>
    <row r="89">
      <c r="A89" s="6"/>
      <c r="C89" s="6"/>
    </row>
    <row r="90">
      <c r="A90" s="6"/>
      <c r="C90" s="6"/>
    </row>
    <row r="91">
      <c r="A91" s="6"/>
      <c r="C91" s="6"/>
    </row>
    <row r="92">
      <c r="A92" s="6"/>
      <c r="C92" s="6"/>
    </row>
    <row r="93">
      <c r="A93" s="6"/>
      <c r="C93" s="6"/>
    </row>
    <row r="94">
      <c r="A94" s="6"/>
      <c r="C94" s="6"/>
    </row>
    <row r="95">
      <c r="A95" s="6"/>
      <c r="C95" s="6"/>
    </row>
    <row r="96">
      <c r="A96" s="6"/>
      <c r="C96" s="6"/>
    </row>
    <row r="97">
      <c r="A97" s="6"/>
      <c r="C97" s="6"/>
    </row>
    <row r="98">
      <c r="A98" s="6"/>
      <c r="C98" s="6"/>
    </row>
    <row r="99">
      <c r="A99" s="6"/>
      <c r="C99" s="6"/>
    </row>
    <row r="100">
      <c r="A100" s="6"/>
      <c r="C100" s="6"/>
    </row>
    <row r="101">
      <c r="A101" s="6"/>
      <c r="C101" s="6"/>
    </row>
    <row r="102">
      <c r="A102" s="6"/>
      <c r="C102" s="6"/>
    </row>
    <row r="103">
      <c r="A103" s="6"/>
      <c r="C103" s="6"/>
    </row>
    <row r="104">
      <c r="A104" s="6"/>
      <c r="C104" s="6"/>
    </row>
    <row r="105">
      <c r="A105" s="6"/>
      <c r="C105" s="6"/>
    </row>
    <row r="106">
      <c r="A106" s="6"/>
      <c r="C106" s="6"/>
    </row>
    <row r="107">
      <c r="A107" s="6"/>
      <c r="C107" s="6"/>
    </row>
    <row r="108">
      <c r="A108" s="6"/>
      <c r="C108" s="6"/>
    </row>
    <row r="109">
      <c r="A109" s="6"/>
      <c r="C109" s="6"/>
    </row>
    <row r="110">
      <c r="A110" s="6"/>
      <c r="C110" s="6"/>
    </row>
    <row r="111">
      <c r="A111" s="6"/>
      <c r="C111" s="6"/>
    </row>
    <row r="112">
      <c r="A112" s="6"/>
      <c r="C112" s="6"/>
    </row>
    <row r="113">
      <c r="A113" s="6"/>
      <c r="C113" s="6"/>
    </row>
    <row r="114">
      <c r="A114" s="6"/>
      <c r="C114" s="6"/>
    </row>
    <row r="115">
      <c r="A115" s="6"/>
      <c r="C115" s="6"/>
    </row>
    <row r="116">
      <c r="A116" s="6"/>
      <c r="C116" s="6"/>
    </row>
    <row r="117">
      <c r="A117" s="6"/>
      <c r="C117" s="6"/>
    </row>
    <row r="118">
      <c r="A118" s="6"/>
      <c r="C118" s="6"/>
    </row>
    <row r="119">
      <c r="A119" s="6"/>
      <c r="C119" s="6"/>
    </row>
    <row r="120">
      <c r="A120" s="6"/>
      <c r="C120" s="6"/>
    </row>
    <row r="121">
      <c r="A121" s="6"/>
      <c r="C121" s="6"/>
    </row>
    <row r="122">
      <c r="A122" s="6"/>
      <c r="C122" s="6"/>
    </row>
    <row r="123">
      <c r="A123" s="6"/>
      <c r="C123" s="6"/>
    </row>
    <row r="124">
      <c r="A124" s="6"/>
      <c r="C124" s="6"/>
    </row>
    <row r="125">
      <c r="A125" s="6"/>
      <c r="C125" s="6"/>
    </row>
    <row r="126">
      <c r="A126" s="6"/>
      <c r="C126" s="6"/>
    </row>
    <row r="127">
      <c r="A127" s="6"/>
      <c r="C127" s="6"/>
    </row>
    <row r="128">
      <c r="A128" s="6"/>
      <c r="C128" s="6"/>
    </row>
    <row r="129">
      <c r="A129" s="6"/>
      <c r="C129" s="6"/>
    </row>
    <row r="130">
      <c r="A130" s="6"/>
      <c r="C130" s="6"/>
    </row>
    <row r="131">
      <c r="A131" s="6"/>
      <c r="C131" s="6"/>
    </row>
    <row r="132">
      <c r="A132" s="6"/>
      <c r="C132" s="6"/>
    </row>
    <row r="133">
      <c r="A133" s="6"/>
      <c r="C133" s="6"/>
    </row>
    <row r="134">
      <c r="A134" s="6"/>
      <c r="C134" s="6"/>
    </row>
    <row r="135">
      <c r="A135" s="6"/>
      <c r="C135" s="6"/>
    </row>
    <row r="136">
      <c r="A136" s="6"/>
      <c r="C136" s="6"/>
    </row>
    <row r="137">
      <c r="A137" s="6"/>
      <c r="C137" s="6"/>
    </row>
    <row r="138">
      <c r="A138" s="6"/>
      <c r="C138" s="6"/>
    </row>
    <row r="139">
      <c r="A139" s="6"/>
      <c r="C139" s="6"/>
    </row>
    <row r="140">
      <c r="A140" s="6"/>
      <c r="C140" s="6"/>
    </row>
    <row r="141">
      <c r="A141" s="6"/>
      <c r="C141" s="6"/>
    </row>
    <row r="142">
      <c r="A142" s="6"/>
      <c r="C142" s="6"/>
    </row>
    <row r="143">
      <c r="A143" s="6"/>
      <c r="C143" s="6"/>
    </row>
    <row r="144">
      <c r="A144" s="6"/>
      <c r="C144" s="6"/>
    </row>
    <row r="145">
      <c r="A145" s="6"/>
      <c r="C145" s="6"/>
    </row>
    <row r="146">
      <c r="A146" s="6"/>
      <c r="C146" s="6"/>
    </row>
    <row r="147">
      <c r="A147" s="6"/>
      <c r="C147" s="6"/>
    </row>
    <row r="148">
      <c r="A148" s="6"/>
      <c r="C148" s="6"/>
    </row>
    <row r="149">
      <c r="A149" s="6"/>
      <c r="C149" s="6"/>
    </row>
    <row r="150">
      <c r="A150" s="6"/>
      <c r="C150" s="6"/>
    </row>
    <row r="151">
      <c r="A151" s="6"/>
      <c r="C151" s="6"/>
    </row>
    <row r="152">
      <c r="A152" s="6"/>
      <c r="C152" s="6"/>
    </row>
    <row r="153">
      <c r="A153" s="6"/>
      <c r="C153" s="6"/>
    </row>
    <row r="154">
      <c r="A154" s="6"/>
      <c r="C154" s="6"/>
    </row>
    <row r="155">
      <c r="A155" s="6"/>
      <c r="C155" s="6"/>
    </row>
    <row r="156">
      <c r="A156" s="6"/>
      <c r="C156" s="6"/>
    </row>
    <row r="157">
      <c r="A157" s="6"/>
      <c r="C157" s="6"/>
    </row>
    <row r="158">
      <c r="A158" s="6"/>
      <c r="C158" s="6"/>
    </row>
    <row r="159">
      <c r="A159" s="6"/>
      <c r="C159" s="6"/>
    </row>
    <row r="160">
      <c r="A160" s="6"/>
      <c r="C160" s="6"/>
    </row>
    <row r="161">
      <c r="A161" s="6"/>
      <c r="C161" s="6"/>
    </row>
    <row r="162">
      <c r="A162" s="6"/>
      <c r="C162" s="6"/>
    </row>
    <row r="163">
      <c r="A163" s="6"/>
      <c r="C163" s="6"/>
    </row>
    <row r="164">
      <c r="A164" s="6"/>
      <c r="C164" s="6"/>
    </row>
    <row r="165">
      <c r="A165" s="6"/>
      <c r="C165" s="6"/>
    </row>
    <row r="166">
      <c r="A166" s="6"/>
      <c r="C166" s="6"/>
    </row>
    <row r="167">
      <c r="A167" s="6"/>
      <c r="C167" s="6"/>
    </row>
    <row r="168">
      <c r="A168" s="6"/>
      <c r="C168" s="6"/>
    </row>
    <row r="169">
      <c r="A169" s="6"/>
      <c r="C169" s="6"/>
    </row>
    <row r="170">
      <c r="A170" s="6"/>
      <c r="C170" s="6"/>
    </row>
    <row r="171">
      <c r="A171" s="6"/>
      <c r="C171" s="6"/>
    </row>
    <row r="172">
      <c r="A172" s="6"/>
      <c r="C172" s="6"/>
    </row>
    <row r="173">
      <c r="A173" s="6"/>
      <c r="C173" s="6"/>
    </row>
    <row r="174">
      <c r="A174" s="6"/>
      <c r="C174" s="6"/>
    </row>
    <row r="175">
      <c r="A175" s="6"/>
      <c r="C175" s="6"/>
    </row>
    <row r="176">
      <c r="A176" s="6"/>
      <c r="C176" s="6"/>
    </row>
    <row r="177">
      <c r="A177" s="6"/>
      <c r="C177" s="6"/>
    </row>
    <row r="178">
      <c r="A178" s="6"/>
      <c r="C178" s="6"/>
    </row>
    <row r="179">
      <c r="A179" s="6"/>
      <c r="C179" s="6"/>
    </row>
    <row r="180">
      <c r="A180" s="6"/>
      <c r="C180" s="6"/>
    </row>
    <row r="181">
      <c r="A181" s="6"/>
      <c r="C181" s="6"/>
    </row>
    <row r="182">
      <c r="A182" s="6"/>
      <c r="C182" s="6"/>
    </row>
    <row r="183">
      <c r="A183" s="6"/>
      <c r="C183" s="6"/>
    </row>
    <row r="184">
      <c r="A184" s="6"/>
      <c r="C184" s="6"/>
    </row>
    <row r="185">
      <c r="A185" s="6"/>
      <c r="C185" s="6"/>
    </row>
    <row r="186">
      <c r="A186" s="6"/>
      <c r="C186" s="6"/>
    </row>
    <row r="187">
      <c r="A187" s="6"/>
      <c r="C187" s="6"/>
    </row>
    <row r="188">
      <c r="A188" s="6"/>
      <c r="C188" s="6"/>
    </row>
    <row r="189">
      <c r="A189" s="6"/>
      <c r="C189" s="6"/>
    </row>
    <row r="190">
      <c r="A190" s="6"/>
      <c r="C190" s="6"/>
    </row>
    <row r="191">
      <c r="A191" s="6"/>
      <c r="C191" s="6"/>
    </row>
    <row r="192">
      <c r="A192" s="6"/>
      <c r="C192" s="6"/>
    </row>
    <row r="193">
      <c r="A193" s="6"/>
      <c r="C193" s="6"/>
    </row>
    <row r="194">
      <c r="A194" s="6"/>
      <c r="C194" s="6"/>
    </row>
    <row r="195">
      <c r="A195" s="6"/>
      <c r="C195" s="6"/>
    </row>
    <row r="196">
      <c r="A196" s="6"/>
      <c r="C196" s="6"/>
    </row>
    <row r="197">
      <c r="A197" s="6"/>
      <c r="C197" s="6"/>
    </row>
    <row r="198">
      <c r="A198" s="6"/>
      <c r="C198" s="6"/>
    </row>
    <row r="199">
      <c r="A199" s="6"/>
      <c r="C199" s="6"/>
    </row>
    <row r="200">
      <c r="A200" s="6"/>
      <c r="C200" s="6"/>
    </row>
    <row r="201">
      <c r="A201" s="6"/>
      <c r="C201" s="6"/>
    </row>
    <row r="202">
      <c r="A202" s="6"/>
      <c r="C202" s="6"/>
    </row>
    <row r="203">
      <c r="A203" s="6"/>
      <c r="C203" s="6"/>
    </row>
    <row r="204">
      <c r="A204" s="6"/>
      <c r="C204" s="6"/>
    </row>
    <row r="205">
      <c r="A205" s="6"/>
      <c r="C205" s="6"/>
    </row>
    <row r="206">
      <c r="A206" s="6"/>
      <c r="C206" s="6"/>
    </row>
    <row r="207">
      <c r="A207" s="6"/>
      <c r="C207" s="6"/>
    </row>
    <row r="208">
      <c r="A208" s="6"/>
      <c r="C208" s="6"/>
    </row>
    <row r="209">
      <c r="A209" s="6"/>
      <c r="C209" s="6"/>
    </row>
    <row r="210">
      <c r="A210" s="6"/>
      <c r="C210" s="6"/>
    </row>
    <row r="211">
      <c r="A211" s="6"/>
      <c r="C211" s="6"/>
    </row>
    <row r="212">
      <c r="A212" s="6"/>
      <c r="C212" s="6"/>
    </row>
    <row r="213">
      <c r="A213" s="6"/>
      <c r="C213" s="6"/>
    </row>
    <row r="214">
      <c r="A214" s="6"/>
      <c r="C214" s="6"/>
    </row>
    <row r="215">
      <c r="A215" s="6"/>
      <c r="C215" s="6"/>
    </row>
    <row r="216">
      <c r="A216" s="6"/>
      <c r="C216" s="6"/>
    </row>
    <row r="217">
      <c r="A217" s="6"/>
      <c r="C217" s="6"/>
    </row>
    <row r="218">
      <c r="A218" s="6"/>
      <c r="C218" s="6"/>
    </row>
    <row r="219">
      <c r="A219" s="6"/>
      <c r="C219" s="6"/>
    </row>
    <row r="220">
      <c r="A220" s="6"/>
      <c r="C220" s="6"/>
    </row>
    <row r="221">
      <c r="A221" s="6"/>
      <c r="C221" s="6"/>
    </row>
    <row r="222">
      <c r="A222" s="6"/>
      <c r="C222" s="6"/>
    </row>
    <row r="223">
      <c r="A223" s="6"/>
      <c r="C223" s="6"/>
    </row>
    <row r="224">
      <c r="A224" s="6"/>
      <c r="C224" s="6"/>
    </row>
    <row r="225">
      <c r="A225" s="6"/>
      <c r="C225" s="6"/>
    </row>
    <row r="226">
      <c r="A226" s="6"/>
      <c r="C226" s="6"/>
    </row>
    <row r="227">
      <c r="A227" s="6"/>
      <c r="C227" s="6"/>
    </row>
    <row r="228">
      <c r="A228" s="6"/>
      <c r="C228" s="6"/>
    </row>
    <row r="229">
      <c r="A229" s="6"/>
      <c r="C229" s="6"/>
    </row>
    <row r="230">
      <c r="A230" s="6"/>
      <c r="C230" s="6"/>
    </row>
    <row r="231">
      <c r="A231" s="6"/>
      <c r="C231" s="6"/>
    </row>
    <row r="232">
      <c r="A232" s="6"/>
      <c r="C232" s="6"/>
    </row>
    <row r="233">
      <c r="A233" s="6"/>
      <c r="C233" s="6"/>
    </row>
    <row r="234">
      <c r="A234" s="6"/>
      <c r="C234" s="6"/>
    </row>
    <row r="235">
      <c r="A235" s="6"/>
      <c r="C235" s="6"/>
    </row>
    <row r="236">
      <c r="A236" s="6"/>
      <c r="C236" s="6"/>
    </row>
    <row r="237">
      <c r="A237" s="6"/>
      <c r="C237" s="6"/>
    </row>
    <row r="238">
      <c r="A238" s="6"/>
      <c r="C238" s="6"/>
    </row>
    <row r="239">
      <c r="A239" s="6"/>
      <c r="C239" s="6"/>
    </row>
    <row r="240">
      <c r="A240" s="6"/>
      <c r="C240" s="6"/>
    </row>
    <row r="241">
      <c r="A241" s="6"/>
      <c r="C241" s="6"/>
    </row>
    <row r="242">
      <c r="A242" s="6"/>
      <c r="C242" s="6"/>
    </row>
    <row r="243">
      <c r="A243" s="6"/>
      <c r="C243" s="6"/>
    </row>
    <row r="244">
      <c r="A244" s="6"/>
      <c r="C244" s="6"/>
    </row>
    <row r="245">
      <c r="A245" s="6"/>
      <c r="C245" s="6"/>
    </row>
    <row r="246">
      <c r="A246" s="6"/>
      <c r="C246" s="6"/>
    </row>
    <row r="247">
      <c r="A247" s="6"/>
      <c r="C247" s="6"/>
    </row>
    <row r="248">
      <c r="A248" s="6"/>
      <c r="C248" s="6"/>
    </row>
    <row r="249">
      <c r="A249" s="6"/>
      <c r="C249" s="6"/>
    </row>
    <row r="250">
      <c r="A250" s="6"/>
      <c r="C250" s="6"/>
    </row>
    <row r="251">
      <c r="A251" s="6"/>
      <c r="C251" s="6"/>
    </row>
    <row r="252">
      <c r="A252" s="6"/>
      <c r="C252" s="6"/>
    </row>
    <row r="253">
      <c r="A253" s="6"/>
      <c r="C253" s="6"/>
    </row>
    <row r="254">
      <c r="A254" s="6"/>
      <c r="C254" s="6"/>
    </row>
    <row r="255">
      <c r="A255" s="6"/>
      <c r="C255" s="6"/>
    </row>
    <row r="256">
      <c r="A256" s="6"/>
      <c r="C256" s="6"/>
    </row>
    <row r="257">
      <c r="A257" s="6"/>
      <c r="C257" s="6"/>
    </row>
    <row r="258">
      <c r="A258" s="6"/>
      <c r="C258" s="6"/>
    </row>
    <row r="259">
      <c r="A259" s="6"/>
      <c r="C259" s="6"/>
    </row>
    <row r="260">
      <c r="A260" s="6"/>
      <c r="C260" s="6"/>
    </row>
    <row r="261">
      <c r="A261" s="6"/>
      <c r="C261" s="6"/>
    </row>
    <row r="262">
      <c r="A262" s="6"/>
      <c r="C262" s="6"/>
    </row>
    <row r="263">
      <c r="A263" s="6"/>
      <c r="C263" s="6"/>
    </row>
    <row r="264">
      <c r="A264" s="6"/>
      <c r="C264" s="6"/>
    </row>
    <row r="265">
      <c r="A265" s="6"/>
      <c r="C265" s="6"/>
    </row>
    <row r="266">
      <c r="A266" s="6"/>
      <c r="C266" s="6"/>
    </row>
    <row r="267">
      <c r="A267" s="6"/>
      <c r="C267" s="6"/>
    </row>
    <row r="268">
      <c r="A268" s="6"/>
      <c r="C268" s="6"/>
    </row>
    <row r="269">
      <c r="A269" s="6"/>
      <c r="C269" s="6"/>
    </row>
    <row r="270">
      <c r="A270" s="6"/>
      <c r="C270" s="6"/>
    </row>
    <row r="271">
      <c r="A271" s="6"/>
      <c r="C271" s="6"/>
    </row>
    <row r="272">
      <c r="A272" s="6"/>
      <c r="C272" s="6"/>
    </row>
    <row r="273">
      <c r="A273" s="6"/>
      <c r="C273" s="6"/>
    </row>
    <row r="274">
      <c r="A274" s="6"/>
      <c r="C274" s="6"/>
    </row>
    <row r="275">
      <c r="A275" s="6"/>
      <c r="C275" s="6"/>
    </row>
    <row r="276">
      <c r="A276" s="6"/>
      <c r="C276" s="6"/>
    </row>
    <row r="277">
      <c r="A277" s="6"/>
      <c r="C277" s="6"/>
    </row>
    <row r="278">
      <c r="A278" s="6"/>
      <c r="C278" s="6"/>
    </row>
    <row r="279">
      <c r="A279" s="6"/>
      <c r="C279" s="6"/>
    </row>
    <row r="280">
      <c r="A280" s="6"/>
      <c r="C280" s="6"/>
    </row>
    <row r="281">
      <c r="A281" s="6"/>
      <c r="C281" s="6"/>
    </row>
    <row r="282">
      <c r="A282" s="6"/>
      <c r="C282" s="6"/>
    </row>
    <row r="283">
      <c r="A283" s="6"/>
      <c r="C283" s="6"/>
    </row>
    <row r="284">
      <c r="A284" s="6"/>
      <c r="C284" s="6"/>
    </row>
    <row r="285">
      <c r="A285" s="6"/>
      <c r="C285" s="6"/>
    </row>
    <row r="286">
      <c r="A286" s="6"/>
      <c r="C286" s="6"/>
    </row>
    <row r="287">
      <c r="A287" s="6"/>
      <c r="C287" s="6"/>
    </row>
    <row r="288">
      <c r="A288" s="6"/>
      <c r="C288" s="6"/>
    </row>
    <row r="289">
      <c r="A289" s="6"/>
      <c r="C289" s="6"/>
    </row>
    <row r="290">
      <c r="A290" s="6"/>
      <c r="C290" s="6"/>
    </row>
    <row r="291">
      <c r="A291" s="6"/>
      <c r="C291" s="6"/>
    </row>
    <row r="292">
      <c r="A292" s="6"/>
      <c r="C292" s="6"/>
    </row>
    <row r="293">
      <c r="A293" s="6"/>
      <c r="C293" s="6"/>
    </row>
    <row r="294">
      <c r="A294" s="6"/>
      <c r="C294" s="6"/>
    </row>
    <row r="295">
      <c r="A295" s="6"/>
      <c r="C295" s="6"/>
    </row>
    <row r="296">
      <c r="A296" s="6"/>
      <c r="C296" s="6"/>
    </row>
    <row r="297">
      <c r="A297" s="6"/>
      <c r="C297" s="6"/>
    </row>
    <row r="298">
      <c r="A298" s="6"/>
      <c r="C298" s="6"/>
    </row>
    <row r="299">
      <c r="A299" s="6"/>
      <c r="C299" s="6"/>
    </row>
    <row r="300">
      <c r="A300" s="6"/>
      <c r="C300" s="6"/>
    </row>
    <row r="301">
      <c r="A301" s="6"/>
      <c r="C301" s="6"/>
    </row>
    <row r="302">
      <c r="A302" s="6"/>
      <c r="C302" s="6"/>
    </row>
    <row r="303">
      <c r="A303" s="6"/>
      <c r="C303" s="6"/>
    </row>
    <row r="304">
      <c r="A304" s="6"/>
      <c r="C304" s="6"/>
    </row>
    <row r="305">
      <c r="A305" s="6"/>
      <c r="C305" s="6"/>
    </row>
    <row r="306">
      <c r="A306" s="6"/>
      <c r="C306" s="6"/>
    </row>
    <row r="307">
      <c r="A307" s="6"/>
      <c r="C307" s="6"/>
    </row>
    <row r="308">
      <c r="A308" s="6"/>
      <c r="C308" s="6"/>
    </row>
    <row r="309">
      <c r="A309" s="6"/>
      <c r="C309" s="6"/>
    </row>
    <row r="310">
      <c r="A310" s="6"/>
      <c r="C310" s="6"/>
    </row>
    <row r="311">
      <c r="A311" s="6"/>
      <c r="C311" s="6"/>
    </row>
    <row r="312">
      <c r="A312" s="6"/>
      <c r="C312" s="6"/>
    </row>
    <row r="313">
      <c r="A313" s="6"/>
      <c r="C313" s="6"/>
    </row>
    <row r="314">
      <c r="A314" s="6"/>
      <c r="C314" s="6"/>
    </row>
    <row r="315">
      <c r="A315" s="6"/>
      <c r="C315" s="6"/>
    </row>
    <row r="316">
      <c r="A316" s="6"/>
      <c r="C316" s="6"/>
    </row>
    <row r="317">
      <c r="A317" s="6"/>
      <c r="C317" s="6"/>
    </row>
    <row r="318">
      <c r="A318" s="6"/>
      <c r="C318" s="6"/>
    </row>
    <row r="319">
      <c r="A319" s="6"/>
      <c r="C319" s="6"/>
    </row>
    <row r="320">
      <c r="A320" s="6"/>
      <c r="C320" s="6"/>
    </row>
    <row r="321">
      <c r="A321" s="6"/>
      <c r="C321" s="6"/>
    </row>
    <row r="322">
      <c r="A322" s="6"/>
      <c r="C322" s="6"/>
    </row>
    <row r="323">
      <c r="A323" s="6"/>
      <c r="C323" s="6"/>
    </row>
    <row r="324">
      <c r="A324" s="6"/>
      <c r="C324" s="6"/>
    </row>
    <row r="325">
      <c r="A325" s="6"/>
      <c r="C325" s="6"/>
    </row>
    <row r="326">
      <c r="A326" s="6"/>
      <c r="C326" s="6"/>
    </row>
    <row r="327">
      <c r="A327" s="6"/>
      <c r="C327" s="6"/>
    </row>
    <row r="328">
      <c r="A328" s="6"/>
      <c r="C328" s="6"/>
    </row>
    <row r="329">
      <c r="A329" s="6"/>
      <c r="C329" s="6"/>
    </row>
    <row r="330">
      <c r="A330" s="6"/>
      <c r="C330" s="6"/>
    </row>
    <row r="331">
      <c r="A331" s="6"/>
      <c r="C331" s="6"/>
    </row>
    <row r="332">
      <c r="A332" s="6"/>
      <c r="C332" s="6"/>
    </row>
    <row r="333">
      <c r="A333" s="6"/>
      <c r="C333" s="6"/>
    </row>
    <row r="334">
      <c r="A334" s="6"/>
      <c r="C334" s="6"/>
    </row>
    <row r="335">
      <c r="A335" s="6"/>
      <c r="C335" s="6"/>
    </row>
    <row r="336">
      <c r="A336" s="6"/>
      <c r="C336" s="6"/>
    </row>
    <row r="337">
      <c r="A337" s="6"/>
      <c r="C337" s="6"/>
    </row>
    <row r="338">
      <c r="A338" s="6"/>
      <c r="C338" s="6"/>
    </row>
    <row r="339">
      <c r="A339" s="6"/>
      <c r="C339" s="6"/>
    </row>
    <row r="340">
      <c r="A340" s="6"/>
      <c r="C340" s="6"/>
    </row>
    <row r="341">
      <c r="A341" s="6"/>
      <c r="C341" s="6"/>
    </row>
    <row r="342">
      <c r="A342" s="6"/>
      <c r="C342" s="6"/>
    </row>
    <row r="343">
      <c r="A343" s="6"/>
      <c r="C343" s="6"/>
    </row>
    <row r="344">
      <c r="A344" s="6"/>
      <c r="C344" s="6"/>
    </row>
    <row r="345">
      <c r="A345" s="6"/>
      <c r="C345" s="6"/>
    </row>
    <row r="346">
      <c r="A346" s="6"/>
      <c r="C346" s="6"/>
    </row>
    <row r="347">
      <c r="A347" s="6"/>
      <c r="C347" s="6"/>
    </row>
    <row r="348">
      <c r="A348" s="6"/>
      <c r="C348" s="6"/>
    </row>
    <row r="349">
      <c r="A349" s="6"/>
      <c r="C349" s="6"/>
    </row>
    <row r="350">
      <c r="A350" s="6"/>
      <c r="C350" s="6"/>
    </row>
    <row r="351">
      <c r="A351" s="6"/>
      <c r="C351" s="6"/>
    </row>
    <row r="352">
      <c r="A352" s="6"/>
      <c r="C352" s="6"/>
    </row>
    <row r="353">
      <c r="A353" s="6"/>
      <c r="C353" s="6"/>
    </row>
    <row r="354">
      <c r="A354" s="6"/>
      <c r="C354" s="6"/>
    </row>
    <row r="355">
      <c r="A355" s="6"/>
      <c r="C355" s="6"/>
    </row>
    <row r="356">
      <c r="A356" s="6"/>
      <c r="C356" s="6"/>
    </row>
    <row r="357">
      <c r="A357" s="6"/>
      <c r="C357" s="6"/>
    </row>
    <row r="358">
      <c r="A358" s="6"/>
      <c r="C358" s="6"/>
    </row>
    <row r="359">
      <c r="A359" s="6"/>
      <c r="C359" s="6"/>
    </row>
    <row r="360">
      <c r="A360" s="6"/>
      <c r="C360" s="6"/>
    </row>
    <row r="361">
      <c r="A361" s="6"/>
      <c r="C361" s="6"/>
    </row>
    <row r="362">
      <c r="A362" s="6"/>
      <c r="C362" s="6"/>
    </row>
    <row r="363">
      <c r="A363" s="6"/>
      <c r="C363" s="6"/>
    </row>
    <row r="364">
      <c r="A364" s="6"/>
      <c r="C364" s="6"/>
    </row>
    <row r="365">
      <c r="A365" s="6"/>
      <c r="C365" s="6"/>
    </row>
    <row r="366">
      <c r="A366" s="6"/>
      <c r="C366" s="6"/>
    </row>
    <row r="367">
      <c r="A367" s="6"/>
      <c r="C367" s="6"/>
    </row>
    <row r="368">
      <c r="A368" s="6"/>
      <c r="C368" s="6"/>
    </row>
    <row r="369">
      <c r="A369" s="6"/>
      <c r="C369" s="6"/>
    </row>
    <row r="370">
      <c r="A370" s="6"/>
      <c r="C370" s="6"/>
    </row>
    <row r="371">
      <c r="A371" s="6"/>
      <c r="C371" s="6"/>
    </row>
    <row r="372">
      <c r="A372" s="6"/>
      <c r="C372" s="6"/>
    </row>
    <row r="373">
      <c r="A373" s="6"/>
      <c r="C373" s="6"/>
    </row>
    <row r="374">
      <c r="A374" s="6"/>
      <c r="C374" s="6"/>
    </row>
    <row r="375">
      <c r="A375" s="6"/>
      <c r="C375" s="6"/>
    </row>
    <row r="376">
      <c r="A376" s="6"/>
      <c r="C376" s="6"/>
    </row>
    <row r="377">
      <c r="A377" s="6"/>
      <c r="C377" s="6"/>
    </row>
    <row r="378">
      <c r="A378" s="6"/>
      <c r="C378" s="6"/>
    </row>
    <row r="379">
      <c r="A379" s="6"/>
      <c r="C379" s="6"/>
    </row>
    <row r="380">
      <c r="A380" s="6"/>
      <c r="C380" s="6"/>
    </row>
    <row r="381">
      <c r="A381" s="6"/>
      <c r="C381" s="6"/>
    </row>
    <row r="382">
      <c r="A382" s="6"/>
      <c r="C382" s="6"/>
    </row>
    <row r="383">
      <c r="A383" s="6"/>
      <c r="C383" s="6"/>
    </row>
    <row r="384">
      <c r="A384" s="6"/>
      <c r="C384" s="6"/>
    </row>
    <row r="385">
      <c r="A385" s="6"/>
      <c r="C385" s="6"/>
    </row>
    <row r="386">
      <c r="A386" s="6"/>
      <c r="C386" s="6"/>
    </row>
    <row r="387">
      <c r="A387" s="6"/>
      <c r="C387" s="6"/>
    </row>
    <row r="388">
      <c r="A388" s="6"/>
      <c r="C388" s="6"/>
    </row>
    <row r="389">
      <c r="A389" s="6"/>
      <c r="C389" s="6"/>
    </row>
    <row r="390">
      <c r="A390" s="6"/>
      <c r="C390" s="6"/>
    </row>
    <row r="391">
      <c r="A391" s="6"/>
      <c r="C391" s="6"/>
    </row>
    <row r="392">
      <c r="A392" s="6"/>
      <c r="C392" s="6"/>
    </row>
    <row r="393">
      <c r="A393" s="6"/>
      <c r="C393" s="6"/>
    </row>
    <row r="394">
      <c r="A394" s="6"/>
      <c r="C394" s="6"/>
    </row>
    <row r="395">
      <c r="A395" s="6"/>
      <c r="C395" s="6"/>
    </row>
    <row r="396">
      <c r="A396" s="6"/>
      <c r="C396" s="6"/>
    </row>
    <row r="397">
      <c r="A397" s="6"/>
      <c r="C397" s="6"/>
    </row>
    <row r="398">
      <c r="A398" s="6"/>
      <c r="C398" s="6"/>
    </row>
    <row r="399">
      <c r="A399" s="6"/>
      <c r="C399" s="6"/>
    </row>
    <row r="400">
      <c r="A400" s="6"/>
      <c r="C400" s="6"/>
    </row>
    <row r="401">
      <c r="A401" s="6"/>
      <c r="C401" s="6"/>
    </row>
    <row r="402">
      <c r="A402" s="6"/>
      <c r="C402" s="6"/>
    </row>
    <row r="403">
      <c r="A403" s="6"/>
      <c r="C403" s="6"/>
    </row>
    <row r="404">
      <c r="A404" s="6"/>
      <c r="C404" s="6"/>
    </row>
    <row r="405">
      <c r="A405" s="6"/>
      <c r="C405" s="6"/>
    </row>
    <row r="406">
      <c r="A406" s="6"/>
      <c r="C406" s="6"/>
    </row>
    <row r="407">
      <c r="A407" s="6"/>
      <c r="C407" s="6"/>
    </row>
    <row r="408">
      <c r="A408" s="6"/>
      <c r="C408" s="6"/>
    </row>
    <row r="409">
      <c r="A409" s="6"/>
      <c r="C409" s="6"/>
    </row>
    <row r="410">
      <c r="A410" s="6"/>
      <c r="C410" s="6"/>
    </row>
    <row r="411">
      <c r="A411" s="6"/>
      <c r="C411" s="6"/>
    </row>
    <row r="412">
      <c r="A412" s="6"/>
      <c r="C412" s="6"/>
    </row>
    <row r="413">
      <c r="A413" s="6"/>
      <c r="C413" s="6"/>
    </row>
    <row r="414">
      <c r="A414" s="6"/>
      <c r="C414" s="6"/>
    </row>
    <row r="415">
      <c r="A415" s="6"/>
      <c r="C415" s="6"/>
    </row>
    <row r="416">
      <c r="A416" s="6"/>
      <c r="C416" s="6"/>
    </row>
    <row r="417">
      <c r="A417" s="6"/>
      <c r="C417" s="6"/>
    </row>
    <row r="418">
      <c r="A418" s="6"/>
      <c r="C418" s="6"/>
    </row>
    <row r="419">
      <c r="A419" s="6"/>
      <c r="C419" s="6"/>
    </row>
    <row r="420">
      <c r="A420" s="6"/>
      <c r="C420" s="6"/>
    </row>
    <row r="421">
      <c r="A421" s="6"/>
      <c r="C421" s="6"/>
    </row>
    <row r="422">
      <c r="A422" s="6"/>
      <c r="C422" s="6"/>
    </row>
    <row r="423">
      <c r="A423" s="6"/>
      <c r="C423" s="6"/>
    </row>
    <row r="424">
      <c r="A424" s="6"/>
      <c r="C424" s="6"/>
    </row>
    <row r="425">
      <c r="A425" s="6"/>
      <c r="C425" s="6"/>
    </row>
    <row r="426">
      <c r="A426" s="6"/>
      <c r="C426" s="6"/>
    </row>
    <row r="427">
      <c r="A427" s="6"/>
      <c r="C427" s="6"/>
    </row>
    <row r="428">
      <c r="A428" s="6"/>
      <c r="C428" s="6"/>
    </row>
    <row r="429">
      <c r="A429" s="6"/>
      <c r="C429" s="6"/>
    </row>
    <row r="430">
      <c r="A430" s="6"/>
      <c r="C430" s="6"/>
    </row>
    <row r="431">
      <c r="A431" s="6"/>
      <c r="C431" s="6"/>
    </row>
    <row r="432">
      <c r="A432" s="6"/>
      <c r="C432" s="6"/>
    </row>
    <row r="433">
      <c r="A433" s="6"/>
      <c r="C433" s="6"/>
    </row>
    <row r="434">
      <c r="A434" s="6"/>
      <c r="C434" s="6"/>
    </row>
    <row r="435">
      <c r="A435" s="6"/>
      <c r="C435" s="6"/>
    </row>
    <row r="436">
      <c r="A436" s="6"/>
      <c r="C436" s="6"/>
    </row>
    <row r="437">
      <c r="A437" s="6"/>
      <c r="C437" s="6"/>
    </row>
    <row r="438">
      <c r="A438" s="6"/>
      <c r="C438" s="6"/>
    </row>
    <row r="439">
      <c r="A439" s="6"/>
      <c r="C439" s="6"/>
    </row>
    <row r="440">
      <c r="A440" s="6"/>
      <c r="C440" s="6"/>
    </row>
    <row r="441">
      <c r="A441" s="6"/>
      <c r="C441" s="6"/>
    </row>
    <row r="442">
      <c r="A442" s="6"/>
      <c r="C442" s="6"/>
    </row>
    <row r="443">
      <c r="A443" s="6"/>
      <c r="C443" s="6"/>
    </row>
    <row r="444">
      <c r="A444" s="6"/>
      <c r="C444" s="6"/>
    </row>
    <row r="445">
      <c r="A445" s="6"/>
      <c r="C445" s="6"/>
    </row>
    <row r="446">
      <c r="A446" s="6"/>
      <c r="C446" s="6"/>
    </row>
    <row r="447">
      <c r="A447" s="6"/>
      <c r="C447" s="6"/>
    </row>
    <row r="448">
      <c r="A448" s="6"/>
      <c r="C448" s="6"/>
    </row>
    <row r="449">
      <c r="A449" s="6"/>
      <c r="C449" s="6"/>
    </row>
    <row r="450">
      <c r="A450" s="6"/>
      <c r="C450" s="6"/>
    </row>
    <row r="451">
      <c r="A451" s="6"/>
      <c r="C451" s="6"/>
    </row>
    <row r="452">
      <c r="A452" s="6"/>
      <c r="C452" s="6"/>
    </row>
    <row r="453">
      <c r="A453" s="6"/>
      <c r="C453" s="6"/>
    </row>
    <row r="454">
      <c r="A454" s="6"/>
      <c r="C454" s="6"/>
    </row>
    <row r="455">
      <c r="A455" s="6"/>
      <c r="C455" s="6"/>
    </row>
    <row r="456">
      <c r="A456" s="6"/>
      <c r="C456" s="6"/>
    </row>
    <row r="457">
      <c r="A457" s="6"/>
      <c r="C457" s="6"/>
    </row>
    <row r="458">
      <c r="A458" s="6"/>
      <c r="C458" s="6"/>
    </row>
    <row r="459">
      <c r="A459" s="6"/>
      <c r="C459" s="6"/>
    </row>
    <row r="460">
      <c r="A460" s="6"/>
      <c r="C460" s="6"/>
    </row>
    <row r="461">
      <c r="A461" s="6"/>
      <c r="C461" s="6"/>
    </row>
    <row r="462">
      <c r="A462" s="6"/>
      <c r="C462" s="6"/>
    </row>
    <row r="463">
      <c r="A463" s="6"/>
      <c r="C463" s="6"/>
    </row>
    <row r="464">
      <c r="A464" s="6"/>
      <c r="C464" s="6"/>
    </row>
    <row r="465">
      <c r="A465" s="6"/>
      <c r="C465" s="6"/>
    </row>
    <row r="466">
      <c r="A466" s="6"/>
      <c r="C466" s="6"/>
    </row>
    <row r="467">
      <c r="A467" s="6"/>
      <c r="C467" s="6"/>
    </row>
    <row r="468">
      <c r="A468" s="6"/>
      <c r="C468" s="6"/>
    </row>
    <row r="469">
      <c r="A469" s="6"/>
      <c r="C469" s="6"/>
    </row>
    <row r="470">
      <c r="A470" s="6"/>
      <c r="C470" s="6"/>
    </row>
    <row r="471">
      <c r="A471" s="6"/>
      <c r="C471" s="6"/>
    </row>
    <row r="472">
      <c r="A472" s="6"/>
      <c r="C472" s="6"/>
    </row>
    <row r="473">
      <c r="A473" s="6"/>
      <c r="C473" s="6"/>
    </row>
    <row r="474">
      <c r="A474" s="6"/>
      <c r="C474" s="6"/>
    </row>
    <row r="475">
      <c r="A475" s="6"/>
      <c r="C475" s="6"/>
    </row>
    <row r="476">
      <c r="A476" s="6"/>
      <c r="C476" s="6"/>
    </row>
    <row r="477">
      <c r="A477" s="6"/>
      <c r="C477" s="6"/>
    </row>
    <row r="478">
      <c r="A478" s="6"/>
      <c r="C478" s="6"/>
    </row>
    <row r="479">
      <c r="A479" s="6"/>
      <c r="C479" s="6"/>
    </row>
    <row r="480">
      <c r="A480" s="6"/>
      <c r="C480" s="6"/>
    </row>
    <row r="481">
      <c r="A481" s="6"/>
      <c r="C481" s="6"/>
    </row>
    <row r="482">
      <c r="A482" s="6"/>
      <c r="C482" s="6"/>
    </row>
    <row r="483">
      <c r="A483" s="6"/>
      <c r="C483" s="6"/>
    </row>
    <row r="484">
      <c r="A484" s="6"/>
      <c r="C484" s="6"/>
    </row>
    <row r="485">
      <c r="A485" s="6"/>
      <c r="C485" s="6"/>
    </row>
    <row r="486">
      <c r="A486" s="6"/>
      <c r="C486" s="6"/>
    </row>
    <row r="487">
      <c r="A487" s="6"/>
      <c r="C487" s="6"/>
    </row>
    <row r="488">
      <c r="A488" s="6"/>
      <c r="C488" s="6"/>
    </row>
    <row r="489">
      <c r="A489" s="6"/>
      <c r="C489" s="6"/>
    </row>
    <row r="490">
      <c r="A490" s="6"/>
      <c r="C490" s="6"/>
    </row>
    <row r="491">
      <c r="A491" s="6"/>
      <c r="C491" s="6"/>
    </row>
    <row r="492">
      <c r="A492" s="6"/>
      <c r="C492" s="6"/>
    </row>
    <row r="493">
      <c r="A493" s="6"/>
      <c r="C493" s="6"/>
    </row>
    <row r="494">
      <c r="A494" s="6"/>
      <c r="C494" s="6"/>
    </row>
    <row r="495">
      <c r="A495" s="6"/>
      <c r="C495" s="6"/>
    </row>
    <row r="496">
      <c r="A496" s="6"/>
      <c r="C496" s="6"/>
    </row>
    <row r="497">
      <c r="A497" s="6"/>
      <c r="C497" s="6"/>
    </row>
    <row r="498">
      <c r="A498" s="6"/>
      <c r="C498" s="6"/>
    </row>
    <row r="499">
      <c r="A499" s="6"/>
      <c r="C499" s="6"/>
    </row>
    <row r="500">
      <c r="A500" s="6"/>
      <c r="C500" s="6"/>
    </row>
    <row r="501">
      <c r="A501" s="6"/>
      <c r="C501" s="6"/>
    </row>
    <row r="502">
      <c r="A502" s="6"/>
      <c r="C502" s="6"/>
    </row>
    <row r="503">
      <c r="A503" s="6"/>
      <c r="C503" s="6"/>
    </row>
    <row r="504">
      <c r="A504" s="6"/>
      <c r="C504" s="6"/>
    </row>
    <row r="505">
      <c r="A505" s="6"/>
      <c r="C505" s="6"/>
    </row>
    <row r="506">
      <c r="A506" s="6"/>
      <c r="C506" s="6"/>
    </row>
    <row r="507">
      <c r="A507" s="6"/>
      <c r="C507" s="6"/>
    </row>
    <row r="508">
      <c r="A508" s="6"/>
      <c r="C508" s="6"/>
    </row>
    <row r="509">
      <c r="A509" s="6"/>
      <c r="C509" s="6"/>
    </row>
    <row r="510">
      <c r="A510" s="6"/>
      <c r="C510" s="6"/>
    </row>
    <row r="511">
      <c r="A511" s="6"/>
      <c r="C511" s="6"/>
    </row>
    <row r="512">
      <c r="A512" s="6"/>
      <c r="C512" s="6"/>
    </row>
    <row r="513">
      <c r="A513" s="6"/>
      <c r="C513" s="6"/>
    </row>
    <row r="514">
      <c r="A514" s="6"/>
      <c r="C514" s="6"/>
    </row>
    <row r="515">
      <c r="A515" s="6"/>
      <c r="C515" s="6"/>
    </row>
    <row r="516">
      <c r="A516" s="6"/>
      <c r="C516" s="6"/>
    </row>
    <row r="517">
      <c r="A517" s="6"/>
      <c r="C517" s="6"/>
    </row>
    <row r="518">
      <c r="A518" s="6"/>
      <c r="C518" s="6"/>
    </row>
    <row r="519">
      <c r="A519" s="6"/>
      <c r="C519" s="6"/>
    </row>
    <row r="520">
      <c r="A520" s="6"/>
      <c r="C520" s="6"/>
    </row>
    <row r="521">
      <c r="A521" s="6"/>
      <c r="C521" s="6"/>
    </row>
    <row r="522">
      <c r="A522" s="6"/>
      <c r="C522" s="6"/>
    </row>
    <row r="523">
      <c r="A523" s="6"/>
      <c r="C523" s="6"/>
    </row>
    <row r="524">
      <c r="A524" s="6"/>
      <c r="C524" s="6"/>
    </row>
    <row r="525">
      <c r="A525" s="6"/>
      <c r="C525" s="6"/>
    </row>
    <row r="526">
      <c r="A526" s="6"/>
      <c r="C526" s="6"/>
    </row>
    <row r="527">
      <c r="A527" s="6"/>
      <c r="C527" s="6"/>
    </row>
    <row r="528">
      <c r="A528" s="6"/>
      <c r="C528" s="6"/>
    </row>
    <row r="529">
      <c r="A529" s="6"/>
      <c r="C529" s="6"/>
    </row>
    <row r="530">
      <c r="A530" s="6"/>
      <c r="C530" s="6"/>
    </row>
    <row r="531">
      <c r="A531" s="6"/>
      <c r="C531" s="6"/>
    </row>
    <row r="532">
      <c r="A532" s="6"/>
      <c r="C532" s="6"/>
    </row>
    <row r="533">
      <c r="A533" s="6"/>
      <c r="C533" s="6"/>
    </row>
    <row r="534">
      <c r="A534" s="6"/>
      <c r="C534" s="6"/>
    </row>
    <row r="535">
      <c r="A535" s="6"/>
      <c r="C535" s="6"/>
    </row>
    <row r="536">
      <c r="A536" s="6"/>
      <c r="C536" s="6"/>
    </row>
    <row r="537">
      <c r="A537" s="6"/>
      <c r="C537" s="6"/>
    </row>
    <row r="538">
      <c r="A538" s="6"/>
      <c r="C538" s="6"/>
    </row>
    <row r="539">
      <c r="A539" s="6"/>
      <c r="C539" s="6"/>
    </row>
    <row r="540">
      <c r="A540" s="6"/>
      <c r="C540" s="6"/>
    </row>
    <row r="541">
      <c r="A541" s="6"/>
      <c r="C541" s="6"/>
    </row>
    <row r="542">
      <c r="A542" s="6"/>
      <c r="C542" s="6"/>
    </row>
    <row r="543">
      <c r="A543" s="6"/>
      <c r="C543" s="6"/>
    </row>
    <row r="544">
      <c r="A544" s="6"/>
      <c r="C544" s="6"/>
    </row>
    <row r="545">
      <c r="A545" s="6"/>
      <c r="C545" s="6"/>
    </row>
    <row r="546">
      <c r="A546" s="6"/>
      <c r="C546" s="6"/>
    </row>
    <row r="547">
      <c r="A547" s="6"/>
      <c r="C547" s="6"/>
    </row>
    <row r="548">
      <c r="A548" s="6"/>
      <c r="C548" s="6"/>
    </row>
    <row r="549">
      <c r="A549" s="6"/>
      <c r="C549" s="6"/>
    </row>
    <row r="550">
      <c r="A550" s="6"/>
      <c r="C550" s="6"/>
    </row>
    <row r="551">
      <c r="A551" s="6"/>
      <c r="C551" s="6"/>
    </row>
    <row r="552">
      <c r="A552" s="6"/>
      <c r="C552" s="6"/>
    </row>
    <row r="553">
      <c r="A553" s="6"/>
      <c r="C553" s="6"/>
    </row>
    <row r="554">
      <c r="A554" s="6"/>
      <c r="C554" s="6"/>
    </row>
    <row r="555">
      <c r="A555" s="6"/>
      <c r="C555" s="6"/>
    </row>
    <row r="556">
      <c r="A556" s="6"/>
      <c r="C556" s="6"/>
    </row>
    <row r="557">
      <c r="A557" s="6"/>
      <c r="C557" s="6"/>
    </row>
    <row r="558">
      <c r="A558" s="6"/>
      <c r="C558" s="6"/>
    </row>
    <row r="559">
      <c r="A559" s="6"/>
      <c r="C559" s="6"/>
    </row>
    <row r="560">
      <c r="A560" s="6"/>
      <c r="C560" s="6"/>
    </row>
    <row r="561">
      <c r="A561" s="6"/>
      <c r="C561" s="6"/>
    </row>
    <row r="562">
      <c r="A562" s="6"/>
      <c r="C562" s="6"/>
    </row>
    <row r="563">
      <c r="A563" s="6"/>
      <c r="C563" s="6"/>
    </row>
    <row r="564">
      <c r="A564" s="6"/>
      <c r="C564" s="6"/>
    </row>
    <row r="565">
      <c r="A565" s="6"/>
      <c r="C565" s="6"/>
    </row>
    <row r="566">
      <c r="A566" s="6"/>
      <c r="C566" s="6"/>
    </row>
    <row r="567">
      <c r="A567" s="6"/>
      <c r="C567" s="6"/>
    </row>
    <row r="568">
      <c r="A568" s="6"/>
      <c r="C568" s="6"/>
    </row>
    <row r="569">
      <c r="A569" s="6"/>
      <c r="C569" s="6"/>
    </row>
    <row r="570">
      <c r="A570" s="6"/>
      <c r="C570" s="6"/>
    </row>
    <row r="571">
      <c r="A571" s="6"/>
      <c r="C571" s="6"/>
    </row>
    <row r="572">
      <c r="A572" s="6"/>
      <c r="C572" s="6"/>
    </row>
    <row r="573">
      <c r="A573" s="6"/>
      <c r="C573" s="6"/>
    </row>
    <row r="574">
      <c r="A574" s="6"/>
      <c r="C574" s="6"/>
    </row>
    <row r="575">
      <c r="A575" s="6"/>
      <c r="C575" s="6"/>
    </row>
    <row r="576">
      <c r="A576" s="6"/>
      <c r="C576" s="6"/>
    </row>
    <row r="577">
      <c r="A577" s="6"/>
      <c r="C577" s="6"/>
    </row>
    <row r="578">
      <c r="A578" s="6"/>
      <c r="C578" s="6"/>
    </row>
    <row r="579">
      <c r="A579" s="6"/>
      <c r="C579" s="6"/>
    </row>
    <row r="580">
      <c r="A580" s="6"/>
      <c r="C580" s="6"/>
    </row>
    <row r="581">
      <c r="A581" s="6"/>
      <c r="C581" s="6"/>
    </row>
    <row r="582">
      <c r="A582" s="6"/>
      <c r="C582" s="6"/>
    </row>
    <row r="583">
      <c r="A583" s="6"/>
      <c r="C583" s="6"/>
    </row>
    <row r="584">
      <c r="A584" s="6"/>
      <c r="C584" s="6"/>
    </row>
    <row r="585">
      <c r="A585" s="6"/>
      <c r="C585" s="6"/>
    </row>
    <row r="586">
      <c r="A586" s="6"/>
      <c r="C586" s="6"/>
    </row>
    <row r="587">
      <c r="A587" s="6"/>
      <c r="C587" s="6"/>
    </row>
    <row r="588">
      <c r="A588" s="6"/>
      <c r="C588" s="6"/>
    </row>
    <row r="589">
      <c r="A589" s="6"/>
      <c r="C589" s="6"/>
    </row>
    <row r="590">
      <c r="A590" s="6"/>
      <c r="C590" s="6"/>
    </row>
    <row r="591">
      <c r="A591" s="6"/>
      <c r="C591" s="6"/>
    </row>
    <row r="592">
      <c r="A592" s="6"/>
      <c r="C592" s="6"/>
    </row>
    <row r="593">
      <c r="A593" s="6"/>
      <c r="C593" s="6"/>
    </row>
    <row r="594">
      <c r="A594" s="6"/>
      <c r="C594" s="6"/>
    </row>
    <row r="595">
      <c r="A595" s="6"/>
      <c r="C595" s="6"/>
    </row>
    <row r="596">
      <c r="A596" s="6"/>
      <c r="C596" s="6"/>
    </row>
    <row r="597">
      <c r="A597" s="6"/>
      <c r="C597" s="6"/>
    </row>
    <row r="598">
      <c r="A598" s="6"/>
      <c r="C598" s="6"/>
    </row>
    <row r="599">
      <c r="A599" s="6"/>
      <c r="C599" s="6"/>
    </row>
    <row r="600">
      <c r="A600" s="6"/>
      <c r="C600" s="6"/>
    </row>
    <row r="601">
      <c r="A601" s="6"/>
      <c r="C601" s="6"/>
    </row>
    <row r="602">
      <c r="A602" s="6"/>
      <c r="C602" s="6"/>
    </row>
    <row r="603">
      <c r="A603" s="6"/>
      <c r="C603" s="6"/>
    </row>
    <row r="604">
      <c r="A604" s="6"/>
      <c r="C604" s="6"/>
    </row>
    <row r="605">
      <c r="A605" s="6"/>
      <c r="C605" s="6"/>
    </row>
    <row r="606">
      <c r="A606" s="6"/>
      <c r="C606" s="6"/>
    </row>
    <row r="607">
      <c r="A607" s="6"/>
      <c r="C607" s="6"/>
    </row>
    <row r="608">
      <c r="A608" s="6"/>
      <c r="C608" s="6"/>
    </row>
    <row r="609">
      <c r="A609" s="6"/>
      <c r="C609" s="6"/>
    </row>
    <row r="610">
      <c r="A610" s="6"/>
      <c r="C610" s="6"/>
    </row>
    <row r="611">
      <c r="A611" s="6"/>
      <c r="C611" s="6"/>
    </row>
    <row r="612">
      <c r="A612" s="6"/>
      <c r="C612" s="6"/>
    </row>
    <row r="613">
      <c r="A613" s="6"/>
      <c r="C613" s="6"/>
    </row>
    <row r="614">
      <c r="A614" s="6"/>
      <c r="C614" s="6"/>
    </row>
    <row r="615">
      <c r="A615" s="6"/>
      <c r="C615" s="6"/>
    </row>
    <row r="616">
      <c r="A616" s="6"/>
      <c r="C616" s="6"/>
    </row>
    <row r="617">
      <c r="A617" s="6"/>
      <c r="C617" s="6"/>
    </row>
    <row r="618">
      <c r="A618" s="6"/>
      <c r="C618" s="6"/>
    </row>
    <row r="619">
      <c r="A619" s="6"/>
      <c r="C619" s="6"/>
    </row>
    <row r="620">
      <c r="A620" s="6"/>
      <c r="C620" s="6"/>
    </row>
    <row r="621">
      <c r="A621" s="6"/>
      <c r="C621" s="6"/>
    </row>
    <row r="622">
      <c r="A622" s="6"/>
      <c r="C622" s="6"/>
    </row>
    <row r="623">
      <c r="A623" s="6"/>
      <c r="C623" s="6"/>
    </row>
    <row r="624">
      <c r="A624" s="6"/>
      <c r="C624" s="6"/>
    </row>
    <row r="625">
      <c r="A625" s="6"/>
      <c r="C625" s="6"/>
    </row>
    <row r="626">
      <c r="A626" s="6"/>
      <c r="C626" s="6"/>
    </row>
    <row r="627">
      <c r="A627" s="6"/>
      <c r="C627" s="6"/>
    </row>
    <row r="628">
      <c r="A628" s="6"/>
      <c r="C628" s="6"/>
    </row>
    <row r="629">
      <c r="A629" s="6"/>
      <c r="C629" s="6"/>
    </row>
    <row r="630">
      <c r="A630" s="6"/>
      <c r="C630" s="6"/>
    </row>
    <row r="631">
      <c r="A631" s="6"/>
      <c r="C631" s="6"/>
    </row>
    <row r="632">
      <c r="A632" s="6"/>
      <c r="C632" s="6"/>
    </row>
    <row r="633">
      <c r="A633" s="6"/>
      <c r="C633" s="6"/>
    </row>
    <row r="634">
      <c r="A634" s="6"/>
      <c r="C634" s="6"/>
    </row>
    <row r="635">
      <c r="A635" s="6"/>
      <c r="C635" s="6"/>
    </row>
    <row r="636">
      <c r="A636" s="6"/>
      <c r="C636" s="6"/>
    </row>
    <row r="637">
      <c r="A637" s="6"/>
      <c r="C637" s="6"/>
    </row>
    <row r="638">
      <c r="A638" s="6"/>
      <c r="C638" s="6"/>
    </row>
    <row r="639">
      <c r="A639" s="6"/>
      <c r="C639" s="6"/>
    </row>
    <row r="640">
      <c r="A640" s="6"/>
      <c r="C640" s="6"/>
    </row>
    <row r="641">
      <c r="A641" s="6"/>
      <c r="C641" s="6"/>
    </row>
    <row r="642">
      <c r="A642" s="6"/>
      <c r="C642" s="6"/>
    </row>
    <row r="643">
      <c r="A643" s="6"/>
      <c r="C643" s="6"/>
    </row>
    <row r="644">
      <c r="A644" s="6"/>
      <c r="C644" s="6"/>
    </row>
    <row r="645">
      <c r="A645" s="6"/>
      <c r="C645" s="6"/>
    </row>
    <row r="646">
      <c r="A646" s="6"/>
      <c r="C646" s="6"/>
    </row>
    <row r="647">
      <c r="A647" s="6"/>
      <c r="C647" s="6"/>
    </row>
    <row r="648">
      <c r="A648" s="6"/>
      <c r="C648" s="6"/>
    </row>
    <row r="649">
      <c r="A649" s="6"/>
      <c r="C649" s="6"/>
    </row>
    <row r="650">
      <c r="A650" s="6"/>
      <c r="C650" s="6"/>
    </row>
    <row r="651">
      <c r="A651" s="6"/>
      <c r="C651" s="6"/>
    </row>
    <row r="652">
      <c r="A652" s="6"/>
      <c r="C652" s="6"/>
    </row>
    <row r="653">
      <c r="A653" s="6"/>
      <c r="C653" s="6"/>
    </row>
    <row r="654">
      <c r="A654" s="6"/>
      <c r="C654" s="6"/>
    </row>
    <row r="655">
      <c r="A655" s="6"/>
      <c r="C655" s="6"/>
    </row>
    <row r="656">
      <c r="A656" s="6"/>
      <c r="C656" s="6"/>
    </row>
    <row r="657">
      <c r="A657" s="6"/>
      <c r="C657" s="6"/>
    </row>
    <row r="658">
      <c r="A658" s="6"/>
      <c r="C658" s="6"/>
    </row>
    <row r="659">
      <c r="A659" s="6"/>
      <c r="C659" s="6"/>
    </row>
    <row r="660">
      <c r="A660" s="6"/>
      <c r="C660" s="6"/>
    </row>
    <row r="661">
      <c r="A661" s="6"/>
      <c r="C661" s="6"/>
    </row>
    <row r="662">
      <c r="A662" s="6"/>
      <c r="C662" s="6"/>
    </row>
    <row r="663">
      <c r="A663" s="6"/>
      <c r="C663" s="6"/>
    </row>
    <row r="664">
      <c r="A664" s="6"/>
      <c r="C664" s="6"/>
    </row>
    <row r="665">
      <c r="A665" s="6"/>
      <c r="C665" s="6"/>
    </row>
    <row r="666">
      <c r="A666" s="6"/>
      <c r="C666" s="6"/>
    </row>
    <row r="667">
      <c r="A667" s="6"/>
      <c r="C667" s="6"/>
    </row>
    <row r="668">
      <c r="A668" s="6"/>
      <c r="C668" s="6"/>
    </row>
    <row r="669">
      <c r="A669" s="6"/>
      <c r="C669" s="6"/>
    </row>
    <row r="670">
      <c r="A670" s="6"/>
      <c r="C670" s="6"/>
    </row>
    <row r="671">
      <c r="A671" s="6"/>
      <c r="C671" s="6"/>
    </row>
    <row r="672">
      <c r="A672" s="6"/>
      <c r="C672" s="6"/>
    </row>
    <row r="673">
      <c r="A673" s="6"/>
      <c r="C673" s="6"/>
    </row>
    <row r="674">
      <c r="A674" s="6"/>
      <c r="C674" s="6"/>
    </row>
    <row r="675">
      <c r="A675" s="6"/>
      <c r="C675" s="6"/>
    </row>
    <row r="676">
      <c r="A676" s="6"/>
      <c r="C676" s="6"/>
    </row>
    <row r="677">
      <c r="A677" s="6"/>
      <c r="C677" s="6"/>
    </row>
    <row r="678">
      <c r="A678" s="6"/>
      <c r="C678" s="6"/>
    </row>
    <row r="679">
      <c r="A679" s="6"/>
      <c r="C679" s="6"/>
    </row>
    <row r="680">
      <c r="A680" s="6"/>
      <c r="C680" s="6"/>
    </row>
    <row r="681">
      <c r="A681" s="6"/>
      <c r="C681" s="6"/>
    </row>
    <row r="682">
      <c r="A682" s="6"/>
      <c r="C682" s="6"/>
    </row>
    <row r="683">
      <c r="A683" s="6"/>
      <c r="C683" s="6"/>
    </row>
    <row r="684">
      <c r="A684" s="6"/>
      <c r="C684" s="6"/>
    </row>
    <row r="685">
      <c r="A685" s="6"/>
      <c r="C685" s="6"/>
    </row>
    <row r="686">
      <c r="A686" s="6"/>
      <c r="C686" s="6"/>
    </row>
    <row r="687">
      <c r="A687" s="6"/>
      <c r="C687" s="6"/>
    </row>
    <row r="688">
      <c r="A688" s="6"/>
      <c r="C688" s="6"/>
    </row>
    <row r="689">
      <c r="A689" s="6"/>
      <c r="C689" s="6"/>
    </row>
    <row r="690">
      <c r="A690" s="6"/>
      <c r="C690" s="6"/>
    </row>
    <row r="691">
      <c r="A691" s="6"/>
      <c r="C691" s="6"/>
    </row>
    <row r="692">
      <c r="A692" s="6"/>
      <c r="C692" s="6"/>
    </row>
    <row r="693">
      <c r="A693" s="6"/>
      <c r="C693" s="6"/>
    </row>
    <row r="694">
      <c r="A694" s="6"/>
      <c r="C694" s="6"/>
    </row>
    <row r="695">
      <c r="A695" s="6"/>
      <c r="C695" s="6"/>
    </row>
    <row r="696">
      <c r="A696" s="6"/>
      <c r="C696" s="6"/>
    </row>
    <row r="697">
      <c r="A697" s="6"/>
      <c r="C697" s="6"/>
    </row>
    <row r="698">
      <c r="A698" s="6"/>
      <c r="C698" s="6"/>
    </row>
    <row r="699">
      <c r="A699" s="6"/>
      <c r="C699" s="6"/>
    </row>
    <row r="700">
      <c r="A700" s="6"/>
      <c r="C700" s="6"/>
    </row>
    <row r="701">
      <c r="A701" s="6"/>
      <c r="C701" s="6"/>
    </row>
    <row r="702">
      <c r="A702" s="6"/>
      <c r="C702" s="6"/>
    </row>
    <row r="703">
      <c r="A703" s="6"/>
      <c r="C703" s="6"/>
    </row>
    <row r="704">
      <c r="A704" s="6"/>
      <c r="C704" s="6"/>
    </row>
    <row r="705">
      <c r="A705" s="6"/>
      <c r="C705" s="6"/>
    </row>
    <row r="706">
      <c r="A706" s="6"/>
      <c r="C706" s="6"/>
    </row>
    <row r="707">
      <c r="A707" s="6"/>
      <c r="C707" s="6"/>
    </row>
    <row r="708">
      <c r="A708" s="6"/>
      <c r="C708" s="6"/>
    </row>
    <row r="709">
      <c r="A709" s="6"/>
      <c r="C709" s="6"/>
    </row>
    <row r="710">
      <c r="A710" s="6"/>
      <c r="C710" s="6"/>
    </row>
    <row r="711">
      <c r="A711" s="6"/>
      <c r="C711" s="6"/>
    </row>
    <row r="712">
      <c r="A712" s="6"/>
      <c r="C712" s="6"/>
    </row>
    <row r="713">
      <c r="A713" s="6"/>
      <c r="C713" s="6"/>
    </row>
    <row r="714">
      <c r="A714" s="6"/>
      <c r="C714" s="6"/>
    </row>
    <row r="715">
      <c r="A715" s="6"/>
      <c r="C715" s="6"/>
    </row>
    <row r="716">
      <c r="A716" s="6"/>
      <c r="C716" s="6"/>
    </row>
    <row r="717">
      <c r="A717" s="6"/>
      <c r="C717" s="6"/>
    </row>
    <row r="718">
      <c r="A718" s="6"/>
      <c r="C718" s="6"/>
    </row>
    <row r="719">
      <c r="A719" s="6"/>
      <c r="C719" s="6"/>
    </row>
    <row r="720">
      <c r="A720" s="6"/>
      <c r="C720" s="6"/>
    </row>
    <row r="721">
      <c r="A721" s="6"/>
      <c r="C721" s="6"/>
    </row>
    <row r="722">
      <c r="A722" s="6"/>
      <c r="C722" s="6"/>
    </row>
    <row r="723">
      <c r="A723" s="6"/>
      <c r="C723" s="6"/>
    </row>
    <row r="724">
      <c r="A724" s="6"/>
      <c r="C724" s="6"/>
    </row>
    <row r="725">
      <c r="A725" s="6"/>
      <c r="C725" s="6"/>
    </row>
    <row r="726">
      <c r="A726" s="6"/>
      <c r="C726" s="6"/>
    </row>
    <row r="727">
      <c r="A727" s="6"/>
      <c r="C727" s="6"/>
    </row>
    <row r="728">
      <c r="A728" s="6"/>
      <c r="C728" s="6"/>
    </row>
    <row r="729">
      <c r="A729" s="6"/>
      <c r="C729" s="6"/>
    </row>
    <row r="730">
      <c r="A730" s="6"/>
      <c r="C730" s="6"/>
    </row>
    <row r="731">
      <c r="A731" s="6"/>
      <c r="C731" s="6"/>
    </row>
    <row r="732">
      <c r="A732" s="6"/>
      <c r="C732" s="6"/>
    </row>
    <row r="733">
      <c r="A733" s="6"/>
      <c r="C733" s="6"/>
    </row>
    <row r="734">
      <c r="A734" s="6"/>
      <c r="C734" s="6"/>
    </row>
    <row r="735">
      <c r="A735" s="6"/>
      <c r="C735" s="6"/>
    </row>
    <row r="736">
      <c r="A736" s="6"/>
      <c r="C736" s="6"/>
    </row>
    <row r="737">
      <c r="A737" s="6"/>
      <c r="C737" s="6"/>
    </row>
    <row r="738">
      <c r="A738" s="6"/>
      <c r="C738" s="6"/>
    </row>
    <row r="739">
      <c r="A739" s="6"/>
      <c r="C739" s="6"/>
    </row>
    <row r="740">
      <c r="A740" s="6"/>
      <c r="C740" s="6"/>
    </row>
    <row r="741">
      <c r="A741" s="6"/>
      <c r="C741" s="6"/>
    </row>
    <row r="742">
      <c r="A742" s="6"/>
      <c r="C742" s="6"/>
    </row>
    <row r="743">
      <c r="A743" s="6"/>
      <c r="C743" s="6"/>
    </row>
    <row r="744">
      <c r="A744" s="6"/>
      <c r="C744" s="6"/>
    </row>
    <row r="745">
      <c r="A745" s="6"/>
      <c r="C745" s="6"/>
    </row>
    <row r="746">
      <c r="A746" s="6"/>
      <c r="C746" s="6"/>
    </row>
    <row r="747">
      <c r="A747" s="6"/>
      <c r="C747" s="6"/>
    </row>
    <row r="748">
      <c r="A748" s="6"/>
      <c r="C748" s="6"/>
    </row>
    <row r="749">
      <c r="A749" s="6"/>
      <c r="C749" s="6"/>
    </row>
    <row r="750">
      <c r="A750" s="6"/>
      <c r="C750" s="6"/>
    </row>
    <row r="751">
      <c r="A751" s="6"/>
      <c r="C751" s="6"/>
    </row>
    <row r="752">
      <c r="A752" s="6"/>
      <c r="C752" s="6"/>
    </row>
    <row r="753">
      <c r="A753" s="6"/>
      <c r="C753" s="6"/>
    </row>
    <row r="754">
      <c r="A754" s="6"/>
      <c r="C754" s="6"/>
    </row>
    <row r="755">
      <c r="A755" s="6"/>
      <c r="C755" s="6"/>
    </row>
    <row r="756">
      <c r="A756" s="6"/>
      <c r="C756" s="6"/>
    </row>
    <row r="757">
      <c r="A757" s="6"/>
      <c r="C757" s="6"/>
    </row>
    <row r="758">
      <c r="A758" s="6"/>
      <c r="C758" s="6"/>
    </row>
    <row r="759">
      <c r="A759" s="6"/>
      <c r="C759" s="6"/>
    </row>
    <row r="760">
      <c r="A760" s="6"/>
      <c r="C760" s="6"/>
    </row>
    <row r="761">
      <c r="A761" s="6"/>
      <c r="C761" s="6"/>
    </row>
    <row r="762">
      <c r="A762" s="6"/>
      <c r="C762" s="6"/>
    </row>
    <row r="763">
      <c r="A763" s="6"/>
      <c r="C763" s="6"/>
    </row>
    <row r="764">
      <c r="A764" s="6"/>
      <c r="C764" s="6"/>
    </row>
    <row r="765">
      <c r="A765" s="6"/>
      <c r="C765" s="6"/>
    </row>
    <row r="766">
      <c r="A766" s="6"/>
      <c r="C766" s="6"/>
    </row>
    <row r="767">
      <c r="A767" s="6"/>
      <c r="C767" s="6"/>
    </row>
    <row r="768">
      <c r="A768" s="6"/>
      <c r="C768" s="6"/>
    </row>
    <row r="769">
      <c r="A769" s="6"/>
      <c r="C769" s="6"/>
    </row>
    <row r="770">
      <c r="A770" s="6"/>
      <c r="C770" s="6"/>
    </row>
    <row r="771">
      <c r="A771" s="6"/>
      <c r="C771" s="6"/>
    </row>
    <row r="772">
      <c r="A772" s="6"/>
      <c r="C772" s="6"/>
    </row>
    <row r="773">
      <c r="A773" s="6"/>
      <c r="C773" s="6"/>
    </row>
    <row r="774">
      <c r="A774" s="6"/>
      <c r="C774" s="6"/>
    </row>
    <row r="775">
      <c r="A775" s="6"/>
      <c r="C775" s="6"/>
    </row>
    <row r="776">
      <c r="A776" s="6"/>
      <c r="C776" s="6"/>
    </row>
    <row r="777">
      <c r="A777" s="6"/>
      <c r="C777" s="6"/>
    </row>
    <row r="778">
      <c r="A778" s="6"/>
      <c r="C778" s="6"/>
    </row>
    <row r="779">
      <c r="A779" s="6"/>
      <c r="C779" s="6"/>
    </row>
    <row r="780">
      <c r="A780" s="6"/>
      <c r="C780" s="6"/>
    </row>
    <row r="781">
      <c r="A781" s="6"/>
      <c r="C781" s="6"/>
    </row>
    <row r="782">
      <c r="A782" s="6"/>
      <c r="C782" s="6"/>
    </row>
    <row r="783">
      <c r="A783" s="6"/>
      <c r="C783" s="6"/>
    </row>
    <row r="784">
      <c r="A784" s="6"/>
      <c r="C784" s="6"/>
    </row>
    <row r="785">
      <c r="A785" s="6"/>
      <c r="C785" s="6"/>
    </row>
    <row r="786">
      <c r="A786" s="6"/>
      <c r="C786" s="6"/>
    </row>
    <row r="787">
      <c r="A787" s="6"/>
      <c r="C787" s="6"/>
    </row>
    <row r="788">
      <c r="A788" s="6"/>
      <c r="C788" s="6"/>
    </row>
    <row r="789">
      <c r="A789" s="6"/>
      <c r="C789" s="6"/>
    </row>
    <row r="790">
      <c r="A790" s="6"/>
      <c r="C790" s="6"/>
    </row>
    <row r="791">
      <c r="A791" s="6"/>
      <c r="C791" s="6"/>
    </row>
    <row r="792">
      <c r="A792" s="6"/>
      <c r="C792" s="6"/>
    </row>
    <row r="793">
      <c r="A793" s="6"/>
      <c r="C793" s="6"/>
    </row>
    <row r="794">
      <c r="A794" s="6"/>
      <c r="C794" s="6"/>
    </row>
    <row r="795">
      <c r="A795" s="6"/>
      <c r="C795" s="6"/>
    </row>
    <row r="796">
      <c r="A796" s="6"/>
      <c r="C796" s="6"/>
    </row>
    <row r="797">
      <c r="A797" s="6"/>
      <c r="C797" s="6"/>
    </row>
    <row r="798">
      <c r="A798" s="6"/>
      <c r="C798" s="6"/>
    </row>
    <row r="799">
      <c r="A799" s="6"/>
      <c r="C799" s="6"/>
    </row>
    <row r="800">
      <c r="A800" s="6"/>
      <c r="C800" s="6"/>
    </row>
    <row r="801">
      <c r="A801" s="6"/>
      <c r="C801" s="6"/>
    </row>
    <row r="802">
      <c r="A802" s="6"/>
      <c r="C802" s="6"/>
    </row>
    <row r="803">
      <c r="A803" s="6"/>
      <c r="C803" s="6"/>
    </row>
    <row r="804">
      <c r="A804" s="6"/>
      <c r="C804" s="6"/>
    </row>
    <row r="805">
      <c r="A805" s="6"/>
      <c r="C805" s="6"/>
    </row>
    <row r="806">
      <c r="A806" s="6"/>
      <c r="C806" s="6"/>
    </row>
    <row r="807">
      <c r="A807" s="6"/>
      <c r="C807" s="6"/>
    </row>
    <row r="808">
      <c r="A808" s="6"/>
      <c r="C808" s="6"/>
    </row>
    <row r="809">
      <c r="A809" s="6"/>
      <c r="C809" s="6"/>
    </row>
    <row r="810">
      <c r="A810" s="6"/>
      <c r="C810" s="6"/>
    </row>
    <row r="811">
      <c r="A811" s="6"/>
      <c r="C811" s="6"/>
    </row>
    <row r="812">
      <c r="A812" s="6"/>
      <c r="C812" s="6"/>
    </row>
    <row r="813">
      <c r="A813" s="6"/>
      <c r="C813" s="6"/>
    </row>
    <row r="814">
      <c r="A814" s="6"/>
      <c r="C814" s="6"/>
    </row>
    <row r="815">
      <c r="A815" s="6"/>
      <c r="C815" s="6"/>
    </row>
    <row r="816">
      <c r="A816" s="6"/>
      <c r="C816" s="6"/>
    </row>
    <row r="817">
      <c r="A817" s="6"/>
      <c r="C817" s="6"/>
    </row>
    <row r="818">
      <c r="A818" s="6"/>
      <c r="C818" s="6"/>
    </row>
    <row r="819">
      <c r="A819" s="6"/>
      <c r="C819" s="6"/>
    </row>
    <row r="820">
      <c r="A820" s="6"/>
      <c r="C820" s="6"/>
    </row>
    <row r="821">
      <c r="A821" s="6"/>
      <c r="C821" s="6"/>
    </row>
    <row r="822">
      <c r="A822" s="6"/>
      <c r="C822" s="6"/>
    </row>
    <row r="823">
      <c r="A823" s="6"/>
      <c r="C823" s="6"/>
    </row>
    <row r="824">
      <c r="A824" s="6"/>
      <c r="C824" s="6"/>
    </row>
    <row r="825">
      <c r="A825" s="6"/>
      <c r="C825" s="6"/>
    </row>
    <row r="826">
      <c r="A826" s="6"/>
      <c r="C826" s="6"/>
    </row>
    <row r="827">
      <c r="A827" s="6"/>
      <c r="C827" s="6"/>
    </row>
    <row r="828">
      <c r="A828" s="6"/>
      <c r="C828" s="6"/>
    </row>
    <row r="829">
      <c r="A829" s="6"/>
      <c r="C829" s="6"/>
    </row>
    <row r="830">
      <c r="A830" s="6"/>
      <c r="C830" s="6"/>
    </row>
    <row r="831">
      <c r="A831" s="6"/>
      <c r="C831" s="6"/>
    </row>
    <row r="832">
      <c r="A832" s="6"/>
      <c r="C832" s="6"/>
    </row>
    <row r="833">
      <c r="A833" s="6"/>
      <c r="C833" s="6"/>
    </row>
    <row r="834">
      <c r="A834" s="6"/>
      <c r="C834" s="6"/>
    </row>
    <row r="835">
      <c r="A835" s="6"/>
      <c r="C835" s="6"/>
    </row>
    <row r="836">
      <c r="A836" s="6"/>
      <c r="C836" s="6"/>
    </row>
    <row r="837">
      <c r="A837" s="6"/>
      <c r="C837" s="6"/>
    </row>
    <row r="838">
      <c r="A838" s="6"/>
      <c r="C838" s="6"/>
    </row>
    <row r="839">
      <c r="A839" s="6"/>
      <c r="C839" s="6"/>
    </row>
    <row r="840">
      <c r="A840" s="6"/>
      <c r="C840" s="6"/>
    </row>
    <row r="841">
      <c r="A841" s="6"/>
      <c r="C841" s="6"/>
    </row>
    <row r="842">
      <c r="A842" s="6"/>
      <c r="C842" s="6"/>
    </row>
    <row r="843">
      <c r="A843" s="6"/>
      <c r="C843" s="6"/>
    </row>
    <row r="844">
      <c r="A844" s="6"/>
      <c r="C844" s="6"/>
    </row>
    <row r="845">
      <c r="A845" s="6"/>
      <c r="C845" s="6"/>
    </row>
    <row r="846">
      <c r="A846" s="6"/>
      <c r="C846" s="6"/>
    </row>
    <row r="847">
      <c r="A847" s="6"/>
      <c r="C847" s="6"/>
    </row>
    <row r="848">
      <c r="A848" s="6"/>
      <c r="C848" s="6"/>
    </row>
    <row r="849">
      <c r="A849" s="6"/>
      <c r="C849" s="6"/>
    </row>
    <row r="850">
      <c r="A850" s="6"/>
      <c r="C850" s="6"/>
    </row>
    <row r="851">
      <c r="A851" s="6"/>
      <c r="C851" s="6"/>
    </row>
    <row r="852">
      <c r="A852" s="6"/>
      <c r="C852" s="6"/>
    </row>
    <row r="853">
      <c r="A853" s="6"/>
      <c r="C853" s="6"/>
    </row>
    <row r="854">
      <c r="A854" s="6"/>
      <c r="C854" s="6"/>
    </row>
    <row r="855">
      <c r="A855" s="6"/>
      <c r="C855" s="6"/>
    </row>
    <row r="856">
      <c r="A856" s="6"/>
      <c r="C856" s="6"/>
    </row>
    <row r="857">
      <c r="A857" s="6"/>
      <c r="C857" s="6"/>
    </row>
    <row r="858">
      <c r="A858" s="6"/>
      <c r="C858" s="6"/>
    </row>
    <row r="859">
      <c r="A859" s="6"/>
      <c r="C859" s="6"/>
    </row>
    <row r="860">
      <c r="A860" s="6"/>
      <c r="C860" s="6"/>
    </row>
    <row r="861">
      <c r="A861" s="6"/>
      <c r="C861" s="6"/>
    </row>
    <row r="862">
      <c r="A862" s="6"/>
      <c r="C862" s="6"/>
    </row>
    <row r="863">
      <c r="A863" s="6"/>
      <c r="C863" s="6"/>
    </row>
    <row r="864">
      <c r="A864" s="6"/>
      <c r="C864" s="6"/>
    </row>
    <row r="865">
      <c r="A865" s="6"/>
      <c r="C865" s="6"/>
    </row>
    <row r="866">
      <c r="A866" s="6"/>
      <c r="C866" s="6"/>
    </row>
    <row r="867">
      <c r="A867" s="6"/>
      <c r="C867" s="6"/>
    </row>
    <row r="868">
      <c r="A868" s="6"/>
      <c r="C868" s="6"/>
    </row>
    <row r="869">
      <c r="A869" s="6"/>
      <c r="C869" s="6"/>
    </row>
    <row r="870">
      <c r="A870" s="6"/>
      <c r="C870" s="6"/>
    </row>
    <row r="871">
      <c r="A871" s="6"/>
      <c r="C871" s="6"/>
    </row>
    <row r="872">
      <c r="A872" s="6"/>
      <c r="C872" s="6"/>
    </row>
    <row r="873">
      <c r="A873" s="6"/>
      <c r="C873" s="6"/>
    </row>
    <row r="874">
      <c r="A874" s="6"/>
      <c r="C874" s="6"/>
    </row>
    <row r="875">
      <c r="A875" s="6"/>
      <c r="C875" s="6"/>
    </row>
    <row r="876">
      <c r="A876" s="6"/>
      <c r="C876" s="6"/>
    </row>
    <row r="877">
      <c r="A877" s="6"/>
      <c r="C877" s="6"/>
    </row>
    <row r="878">
      <c r="A878" s="6"/>
      <c r="C878" s="6"/>
    </row>
    <row r="879">
      <c r="A879" s="6"/>
      <c r="C879" s="6"/>
    </row>
    <row r="880">
      <c r="A880" s="6"/>
      <c r="C880" s="6"/>
    </row>
    <row r="881">
      <c r="A881" s="6"/>
      <c r="C881" s="6"/>
    </row>
    <row r="882">
      <c r="A882" s="6"/>
      <c r="C882" s="6"/>
    </row>
    <row r="883">
      <c r="A883" s="6"/>
      <c r="C883" s="6"/>
    </row>
    <row r="884">
      <c r="A884" s="6"/>
      <c r="C884" s="6"/>
    </row>
    <row r="885">
      <c r="A885" s="6"/>
      <c r="C885" s="6"/>
    </row>
    <row r="886">
      <c r="A886" s="6"/>
      <c r="C886" s="6"/>
    </row>
    <row r="887">
      <c r="A887" s="6"/>
      <c r="C887" s="6"/>
    </row>
    <row r="888">
      <c r="A888" s="6"/>
      <c r="C888" s="6"/>
    </row>
    <row r="889">
      <c r="A889" s="6"/>
      <c r="C889" s="6"/>
    </row>
    <row r="890">
      <c r="A890" s="6"/>
      <c r="C890" s="6"/>
    </row>
    <row r="891">
      <c r="A891" s="6"/>
      <c r="C891" s="6"/>
    </row>
    <row r="892">
      <c r="A892" s="6"/>
      <c r="C892" s="6"/>
    </row>
    <row r="893">
      <c r="A893" s="6"/>
      <c r="C893" s="6"/>
    </row>
    <row r="894">
      <c r="A894" s="6"/>
      <c r="C894" s="6"/>
    </row>
    <row r="895">
      <c r="A895" s="6"/>
      <c r="C895" s="6"/>
    </row>
    <row r="896">
      <c r="A896" s="6"/>
      <c r="C896" s="6"/>
    </row>
    <row r="897">
      <c r="A897" s="6"/>
      <c r="C897" s="6"/>
    </row>
    <row r="898">
      <c r="A898" s="6"/>
      <c r="C898" s="6"/>
    </row>
    <row r="899">
      <c r="A899" s="6"/>
      <c r="C899" s="6"/>
    </row>
    <row r="900">
      <c r="A900" s="6"/>
      <c r="C900" s="6"/>
    </row>
    <row r="901">
      <c r="A901" s="6"/>
      <c r="C901" s="6"/>
    </row>
    <row r="902">
      <c r="A902" s="6"/>
      <c r="C902" s="6"/>
    </row>
    <row r="903">
      <c r="A903" s="6"/>
      <c r="C903" s="6"/>
    </row>
    <row r="904">
      <c r="A904" s="6"/>
      <c r="C904" s="6"/>
    </row>
    <row r="905">
      <c r="A905" s="6"/>
      <c r="C905" s="6"/>
    </row>
    <row r="906">
      <c r="A906" s="6"/>
      <c r="C906" s="6"/>
    </row>
    <row r="907">
      <c r="A907" s="6"/>
      <c r="C907" s="6"/>
    </row>
    <row r="908">
      <c r="A908" s="6"/>
      <c r="C908" s="6"/>
    </row>
    <row r="909">
      <c r="A909" s="6"/>
      <c r="C909" s="6"/>
    </row>
    <row r="910">
      <c r="A910" s="6"/>
      <c r="C910" s="6"/>
    </row>
    <row r="911">
      <c r="A911" s="6"/>
      <c r="C911" s="6"/>
    </row>
    <row r="912">
      <c r="A912" s="6"/>
      <c r="C912" s="6"/>
    </row>
    <row r="913">
      <c r="A913" s="6"/>
      <c r="C913" s="6"/>
    </row>
    <row r="914">
      <c r="A914" s="6"/>
      <c r="C914" s="6"/>
    </row>
    <row r="915">
      <c r="A915" s="6"/>
      <c r="C915" s="6"/>
    </row>
    <row r="916">
      <c r="A916" s="6"/>
      <c r="C916" s="6"/>
    </row>
    <row r="917">
      <c r="A917" s="6"/>
      <c r="C917" s="6"/>
    </row>
    <row r="918">
      <c r="A918" s="6"/>
      <c r="C918" s="6"/>
    </row>
    <row r="919">
      <c r="A919" s="6"/>
      <c r="C919" s="6"/>
    </row>
    <row r="920">
      <c r="A920" s="6"/>
      <c r="C920" s="6"/>
    </row>
    <row r="921">
      <c r="A921" s="6"/>
      <c r="C921" s="6"/>
    </row>
    <row r="922">
      <c r="A922" s="6"/>
      <c r="C922" s="6"/>
    </row>
    <row r="923">
      <c r="A923" s="6"/>
      <c r="C923" s="6"/>
    </row>
    <row r="924">
      <c r="A924" s="6"/>
      <c r="C924" s="6"/>
    </row>
    <row r="925">
      <c r="A925" s="6"/>
      <c r="C925" s="6"/>
    </row>
    <row r="926">
      <c r="A926" s="6"/>
      <c r="C926" s="6"/>
    </row>
    <row r="927">
      <c r="A927" s="6"/>
      <c r="C927" s="6"/>
    </row>
    <row r="928">
      <c r="A928" s="6"/>
      <c r="C928" s="6"/>
    </row>
    <row r="929">
      <c r="A929" s="6"/>
      <c r="C929" s="6"/>
    </row>
    <row r="930">
      <c r="A930" s="6"/>
      <c r="C930" s="6"/>
    </row>
    <row r="931">
      <c r="A931" s="6"/>
      <c r="C931" s="6"/>
    </row>
    <row r="932">
      <c r="A932" s="6"/>
      <c r="C932" s="6"/>
    </row>
    <row r="933">
      <c r="A933" s="6"/>
      <c r="C933" s="6"/>
    </row>
    <row r="934">
      <c r="A934" s="6"/>
      <c r="C934" s="6"/>
    </row>
    <row r="935">
      <c r="A935" s="6"/>
      <c r="C935" s="6"/>
    </row>
    <row r="936">
      <c r="A936" s="6"/>
      <c r="C936" s="6"/>
    </row>
    <row r="937">
      <c r="A937" s="6"/>
      <c r="C937" s="6"/>
    </row>
    <row r="938">
      <c r="A938" s="6"/>
      <c r="C938" s="6"/>
    </row>
    <row r="939">
      <c r="A939" s="6"/>
      <c r="C939" s="6"/>
    </row>
    <row r="940">
      <c r="A940" s="6"/>
      <c r="C940" s="6"/>
    </row>
    <row r="941">
      <c r="A941" s="6"/>
      <c r="C941" s="6"/>
    </row>
    <row r="942">
      <c r="A942" s="6"/>
      <c r="C942" s="6"/>
    </row>
    <row r="943">
      <c r="A943" s="6"/>
      <c r="C943" s="6"/>
    </row>
    <row r="944">
      <c r="A944" s="6"/>
      <c r="C944" s="6"/>
    </row>
    <row r="945">
      <c r="A945" s="6"/>
      <c r="C945" s="6"/>
    </row>
    <row r="946">
      <c r="A946" s="6"/>
      <c r="C946" s="6"/>
    </row>
    <row r="947">
      <c r="A947" s="6"/>
      <c r="C947" s="6"/>
    </row>
    <row r="948">
      <c r="A948" s="6"/>
      <c r="C948" s="6"/>
    </row>
    <row r="949">
      <c r="A949" s="6"/>
      <c r="C949" s="6"/>
    </row>
    <row r="950">
      <c r="A950" s="6"/>
      <c r="C950" s="6"/>
    </row>
    <row r="951">
      <c r="A951" s="6"/>
      <c r="C951" s="6"/>
    </row>
    <row r="952">
      <c r="A952" s="6"/>
      <c r="C952" s="6"/>
    </row>
    <row r="953">
      <c r="A953" s="6"/>
      <c r="C953" s="6"/>
    </row>
    <row r="954">
      <c r="A954" s="6"/>
      <c r="C954" s="6"/>
    </row>
    <row r="955">
      <c r="A955" s="6"/>
      <c r="C955" s="6"/>
    </row>
    <row r="956">
      <c r="A956" s="6"/>
      <c r="C956" s="6"/>
    </row>
    <row r="957">
      <c r="A957" s="6"/>
      <c r="C957" s="6"/>
    </row>
    <row r="958">
      <c r="A958" s="6"/>
      <c r="C958" s="6"/>
    </row>
    <row r="959">
      <c r="A959" s="6"/>
      <c r="C959" s="6"/>
    </row>
    <row r="960">
      <c r="A960" s="6"/>
      <c r="C960" s="6"/>
    </row>
    <row r="961">
      <c r="A961" s="6"/>
      <c r="C961" s="6"/>
    </row>
    <row r="962">
      <c r="A962" s="6"/>
      <c r="C962" s="6"/>
    </row>
    <row r="963">
      <c r="A963" s="6"/>
      <c r="C963" s="6"/>
    </row>
    <row r="964">
      <c r="A964" s="6"/>
      <c r="C964" s="6"/>
    </row>
    <row r="965">
      <c r="A965" s="6"/>
      <c r="C965" s="6"/>
    </row>
    <row r="966">
      <c r="A966" s="6"/>
      <c r="C966" s="6"/>
    </row>
    <row r="967">
      <c r="A967" s="6"/>
      <c r="C967" s="6"/>
    </row>
    <row r="968">
      <c r="A968" s="6"/>
      <c r="C968" s="6"/>
    </row>
    <row r="969">
      <c r="A969" s="6"/>
      <c r="C969" s="6"/>
    </row>
    <row r="970">
      <c r="A970" s="6"/>
      <c r="C970" s="6"/>
    </row>
    <row r="971">
      <c r="A971" s="6"/>
      <c r="C971" s="6"/>
    </row>
    <row r="972">
      <c r="A972" s="6"/>
      <c r="C972" s="6"/>
    </row>
    <row r="973">
      <c r="A973" s="6"/>
      <c r="C973" s="6"/>
    </row>
    <row r="974">
      <c r="A974" s="6"/>
      <c r="C974" s="6"/>
    </row>
    <row r="975">
      <c r="A975" s="6"/>
      <c r="C975" s="6"/>
    </row>
    <row r="976">
      <c r="A976" s="6"/>
      <c r="C976" s="6"/>
    </row>
    <row r="977">
      <c r="A977" s="6"/>
      <c r="C977" s="6"/>
    </row>
    <row r="978">
      <c r="A978" s="6"/>
      <c r="C978" s="6"/>
    </row>
    <row r="979">
      <c r="A979" s="6"/>
      <c r="C979" s="6"/>
    </row>
    <row r="980">
      <c r="A980" s="6"/>
      <c r="C980" s="6"/>
    </row>
    <row r="981">
      <c r="A981" s="6"/>
      <c r="C981" s="6"/>
    </row>
    <row r="982">
      <c r="A982" s="6"/>
      <c r="C982" s="6"/>
    </row>
    <row r="983">
      <c r="A983" s="6"/>
      <c r="C983" s="6"/>
    </row>
    <row r="984">
      <c r="A984" s="6"/>
      <c r="C984" s="6"/>
    </row>
    <row r="985">
      <c r="A985" s="6"/>
      <c r="C985" s="6"/>
    </row>
    <row r="986">
      <c r="A986" s="6"/>
      <c r="C986" s="6"/>
    </row>
    <row r="987">
      <c r="A987" s="6"/>
      <c r="C987" s="6"/>
    </row>
    <row r="988">
      <c r="A988" s="6"/>
      <c r="C988" s="6"/>
    </row>
    <row r="989">
      <c r="A989" s="6"/>
      <c r="C989" s="6"/>
    </row>
    <row r="990">
      <c r="A990" s="6"/>
      <c r="C990" s="6"/>
    </row>
    <row r="991">
      <c r="A991" s="6"/>
      <c r="C991" s="6"/>
    </row>
    <row r="992">
      <c r="A992" s="6"/>
      <c r="C992" s="6"/>
    </row>
    <row r="993">
      <c r="A993" s="6"/>
      <c r="C993" s="6"/>
    </row>
    <row r="994">
      <c r="A994" s="6"/>
      <c r="C994" s="6"/>
    </row>
    <row r="995">
      <c r="A995" s="6"/>
      <c r="C995" s="6"/>
    </row>
    <row r="996">
      <c r="A996" s="6"/>
      <c r="C996" s="6"/>
    </row>
    <row r="997">
      <c r="A997" s="6"/>
      <c r="C997" s="6"/>
    </row>
    <row r="998">
      <c r="A998" s="6"/>
      <c r="C998" s="6"/>
    </row>
    <row r="999">
      <c r="A999" s="6"/>
      <c r="C999" s="6"/>
    </row>
    <row r="1000">
      <c r="A1000" s="6"/>
    </row>
  </sheetData>
  <hyperlinks>
    <hyperlink r:id="rId1" ref="B1"/>
    <hyperlink r:id="rId2" ref="D1"/>
    <hyperlink r:id="rId3" ref="H1"/>
    <hyperlink r:id="rId4" ref="I1"/>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4.63"/>
  </cols>
  <sheetData>
    <row r="1">
      <c r="A1" s="9" t="s">
        <v>0</v>
      </c>
      <c r="B1" s="10" t="s">
        <v>1</v>
      </c>
      <c r="C1" s="10" t="s">
        <v>4</v>
      </c>
      <c r="F1" s="11" t="s">
        <v>8</v>
      </c>
      <c r="G1" s="12" t="s">
        <v>9</v>
      </c>
      <c r="H1" s="13" t="s">
        <v>8</v>
      </c>
      <c r="I1" s="13" t="s">
        <v>9</v>
      </c>
      <c r="J1" s="13"/>
    </row>
    <row r="2">
      <c r="A2" s="3">
        <v>46055.0</v>
      </c>
      <c r="B2" s="8">
        <v>397.21</v>
      </c>
      <c r="C2" s="8">
        <v>237.19</v>
      </c>
      <c r="F2" s="14">
        <f t="shared" ref="F2:G2" si="1">B2/B3 -1</f>
        <v>-0.07713575428</v>
      </c>
      <c r="G2" s="14">
        <f t="shared" si="1"/>
        <v>0.045534691</v>
      </c>
      <c r="H2" s="15">
        <f t="shared" ref="H2:I2" si="2">(B2-B3)/B3</f>
        <v>-0.07713575428</v>
      </c>
      <c r="I2" s="15">
        <f t="shared" si="2"/>
        <v>0.045534691</v>
      </c>
      <c r="J2" s="15"/>
    </row>
    <row r="3">
      <c r="A3" s="6">
        <v>46048.0</v>
      </c>
      <c r="B3" s="8">
        <v>430.41</v>
      </c>
      <c r="C3" s="8">
        <v>226.86</v>
      </c>
      <c r="F3" s="16">
        <f t="shared" ref="F3:G3" si="3">B3/B4 -1</f>
        <v>-0.0415311985</v>
      </c>
      <c r="G3" s="14">
        <f t="shared" si="3"/>
        <v>0.00256319604</v>
      </c>
      <c r="H3" s="15">
        <f t="shared" ref="H3:I3" si="4">(B3-B4)/B4</f>
        <v>-0.0415311985</v>
      </c>
      <c r="I3" s="15">
        <f t="shared" si="4"/>
        <v>0.00256319604</v>
      </c>
      <c r="J3" s="15"/>
      <c r="K3" s="17" t="s">
        <v>10</v>
      </c>
      <c r="L3" s="18">
        <f t="shared" ref="L3:M3" si="5">MAX(F:F)</f>
        <v>0.1805526785</v>
      </c>
      <c r="M3" s="18">
        <f t="shared" si="5"/>
        <v>0.117640083</v>
      </c>
    </row>
    <row r="4">
      <c r="A4" s="6">
        <v>46041.0</v>
      </c>
      <c r="B4" s="8">
        <v>449.06</v>
      </c>
      <c r="C4" s="8">
        <v>226.28</v>
      </c>
      <c r="F4" s="16">
        <f t="shared" ref="F4:G4" si="6">B4/B5 -1</f>
        <v>0.02642285714</v>
      </c>
      <c r="G4" s="14">
        <f t="shared" si="6"/>
        <v>-0.02221069916</v>
      </c>
      <c r="H4" s="15">
        <f t="shared" ref="H4:I4" si="7">(B4-B5)/B5</f>
        <v>0.02642285714</v>
      </c>
      <c r="I4" s="15">
        <f t="shared" si="7"/>
        <v>-0.02221069916</v>
      </c>
      <c r="J4" s="15"/>
      <c r="K4" s="17" t="s">
        <v>11</v>
      </c>
      <c r="L4" s="18">
        <f t="shared" ref="L4:M4" si="8">MIN(F:F)</f>
        <v>-0.1481267679</v>
      </c>
      <c r="M4" s="18">
        <f t="shared" si="8"/>
        <v>-0.1141165082</v>
      </c>
    </row>
    <row r="5">
      <c r="A5" s="6">
        <v>46034.0</v>
      </c>
      <c r="B5" s="8">
        <v>437.5</v>
      </c>
      <c r="C5" s="8">
        <v>231.42</v>
      </c>
      <c r="F5" s="16">
        <f t="shared" ref="F5:G5" si="9">B5/B6 -1</f>
        <v>-0.01687602526</v>
      </c>
      <c r="G5" s="14">
        <f t="shared" si="9"/>
        <v>0.04469122427</v>
      </c>
      <c r="H5" s="15">
        <f t="shared" ref="H5:I5" si="10">(B5-B6)/B6</f>
        <v>-0.01687602526</v>
      </c>
      <c r="I5" s="15">
        <f t="shared" si="10"/>
        <v>0.04469122427</v>
      </c>
      <c r="J5" s="15"/>
      <c r="K5" s="17" t="s">
        <v>12</v>
      </c>
      <c r="L5" s="18">
        <f t="shared" ref="L5:M5" si="11">L3-L4</f>
        <v>0.3286794463</v>
      </c>
      <c r="M5" s="18">
        <f t="shared" si="11"/>
        <v>0.2317565912</v>
      </c>
    </row>
    <row r="6">
      <c r="A6" s="6">
        <v>46027.0</v>
      </c>
      <c r="B6" s="8">
        <v>445.01</v>
      </c>
      <c r="C6" s="8">
        <v>221.52</v>
      </c>
      <c r="F6" s="16">
        <f t="shared" ref="F6:G6" si="12">B6/B7 -1</f>
        <v>0.015842217</v>
      </c>
      <c r="G6" s="14">
        <f t="shared" si="12"/>
        <v>0.01675310965</v>
      </c>
      <c r="H6" s="15">
        <f t="shared" ref="H6:I6" si="13">(B6-B7)/B7</f>
        <v>0.015842217</v>
      </c>
      <c r="I6" s="15">
        <f t="shared" si="13"/>
        <v>0.01675310965</v>
      </c>
      <c r="J6" s="15"/>
    </row>
    <row r="7">
      <c r="A7" s="6">
        <v>46020.0</v>
      </c>
      <c r="B7" s="8">
        <v>438.07</v>
      </c>
      <c r="C7" s="8">
        <v>217.87</v>
      </c>
      <c r="F7" s="16">
        <f t="shared" ref="F7:G7" si="14">B7/B8 -1</f>
        <v>-0.07811612197</v>
      </c>
      <c r="G7" s="14">
        <f t="shared" si="14"/>
        <v>0.00577047364</v>
      </c>
      <c r="H7" s="15">
        <f t="shared" ref="H7:I7" si="15">(B7-B8)/B8</f>
        <v>-0.07811612197</v>
      </c>
      <c r="I7" s="15">
        <f t="shared" si="15"/>
        <v>0.00577047364</v>
      </c>
      <c r="J7" s="15"/>
      <c r="K7" s="17" t="s">
        <v>13</v>
      </c>
      <c r="L7" s="18">
        <f t="shared" ref="L7:M7" si="16">(_xlfn.PERCENTILE.INC(F:F,0.75))</f>
        <v>0.05099152785</v>
      </c>
      <c r="M7" s="18">
        <f t="shared" si="16"/>
        <v>0.0385381593</v>
      </c>
    </row>
    <row r="8">
      <c r="A8" s="6">
        <v>46013.0</v>
      </c>
      <c r="B8" s="8">
        <v>475.19</v>
      </c>
      <c r="C8" s="8">
        <v>216.62</v>
      </c>
      <c r="F8" s="16">
        <f t="shared" ref="F8:G8" si="17">B8/B9 -1</f>
        <v>-0.01248960931</v>
      </c>
      <c r="G8" s="14">
        <f t="shared" si="17"/>
        <v>-0.01258090984</v>
      </c>
      <c r="H8" s="15">
        <f t="shared" ref="H8:I8" si="18">(B8-B9)/B9</f>
        <v>-0.01248960931</v>
      </c>
      <c r="I8" s="15">
        <f t="shared" si="18"/>
        <v>-0.01258090984</v>
      </c>
      <c r="J8" s="15"/>
      <c r="K8" s="17" t="s">
        <v>14</v>
      </c>
      <c r="L8" s="18">
        <f t="shared" ref="L8:M8" si="19">(_xlfn.PERCENTILE.INC(F:F,0.25))</f>
        <v>-0.04130195631</v>
      </c>
      <c r="M8" s="18">
        <f t="shared" si="19"/>
        <v>-0.0234823789</v>
      </c>
    </row>
    <row r="9">
      <c r="A9" s="6">
        <v>46006.0</v>
      </c>
      <c r="B9" s="8">
        <v>481.2</v>
      </c>
      <c r="C9" s="8">
        <v>219.38</v>
      </c>
      <c r="F9" s="16">
        <f t="shared" ref="F9:G9" si="20">B9/B10 -1</f>
        <v>0.04845738191</v>
      </c>
      <c r="G9" s="14">
        <f t="shared" si="20"/>
        <v>0.05410340188</v>
      </c>
      <c r="H9" s="15">
        <f t="shared" ref="H9:I9" si="21">(B9-B10)/B10</f>
        <v>0.04845738191</v>
      </c>
      <c r="I9" s="15">
        <f t="shared" si="21"/>
        <v>0.05410340188</v>
      </c>
      <c r="J9" s="15"/>
      <c r="K9" s="17" t="s">
        <v>15</v>
      </c>
      <c r="L9" s="19">
        <f t="shared" ref="L9:M9" si="22">L7-L8</f>
        <v>0.09229348415</v>
      </c>
      <c r="M9" s="18">
        <f t="shared" si="22"/>
        <v>0.0620205382</v>
      </c>
    </row>
    <row r="10">
      <c r="A10" s="6">
        <v>45999.0</v>
      </c>
      <c r="B10" s="8">
        <v>458.96</v>
      </c>
      <c r="C10" s="8">
        <v>208.12</v>
      </c>
      <c r="F10" s="16">
        <f t="shared" ref="F10:G10" si="23">B10/B11 -1</f>
        <v>0.008703296703</v>
      </c>
      <c r="G10" s="14">
        <f t="shared" si="23"/>
        <v>0.05881155881</v>
      </c>
      <c r="H10" s="15">
        <f t="shared" ref="H10:I10" si="24">(B10-B11)/B11</f>
        <v>0.008703296703</v>
      </c>
      <c r="I10" s="15">
        <f t="shared" si="24"/>
        <v>0.05881155881</v>
      </c>
      <c r="J10" s="15"/>
    </row>
    <row r="11">
      <c r="A11" s="6">
        <v>45992.0</v>
      </c>
      <c r="B11" s="8">
        <v>455.0</v>
      </c>
      <c r="C11" s="8">
        <v>196.56</v>
      </c>
      <c r="F11" s="16">
        <f t="shared" ref="F11:G11" si="25">B11/B12 -1</f>
        <v>0.05772136597</v>
      </c>
      <c r="G11" s="14">
        <f t="shared" si="25"/>
        <v>-0.02630405707</v>
      </c>
      <c r="H11" s="15">
        <f t="shared" ref="H11:I11" si="26">(B11-B12)/B12</f>
        <v>0.05772136597</v>
      </c>
      <c r="I11" s="15">
        <f t="shared" si="26"/>
        <v>-0.02630405707</v>
      </c>
      <c r="J11" s="15"/>
    </row>
    <row r="12">
      <c r="A12" s="6">
        <v>45985.0</v>
      </c>
      <c r="B12" s="8">
        <v>430.17</v>
      </c>
      <c r="C12" s="8">
        <v>201.87</v>
      </c>
      <c r="F12" s="16">
        <f t="shared" ref="F12:G12" si="27">B12/B13 -1</f>
        <v>0.09992584827</v>
      </c>
      <c r="G12" s="14">
        <f t="shared" si="27"/>
        <v>0.02150592045</v>
      </c>
      <c r="H12" s="15">
        <f t="shared" ref="H12:I12" si="28">(B12-B13)/B13</f>
        <v>0.09992584827</v>
      </c>
      <c r="I12" s="15">
        <f t="shared" si="28"/>
        <v>0.02150592045</v>
      </c>
      <c r="J12" s="15"/>
      <c r="K12" s="20" t="s">
        <v>16</v>
      </c>
      <c r="L12" s="21">
        <f t="shared" ref="L12:M12" si="29">AVERAGE(F:F)</f>
        <v>0.004057478716</v>
      </c>
      <c r="M12" s="21">
        <f t="shared" si="29"/>
        <v>0.006115178169</v>
      </c>
    </row>
    <row r="13">
      <c r="A13" s="6">
        <v>45978.0</v>
      </c>
      <c r="B13" s="8">
        <v>391.09</v>
      </c>
      <c r="C13" s="8">
        <v>197.62</v>
      </c>
      <c r="F13" s="16">
        <f t="shared" ref="F13:G13" si="30">B13/B14 -1</f>
        <v>-0.03279337208</v>
      </c>
      <c r="G13" s="14">
        <f t="shared" si="30"/>
        <v>-0.03165425323</v>
      </c>
      <c r="H13" s="15">
        <f t="shared" ref="H13:I13" si="31">(B13-B14)/B14</f>
        <v>-0.03279337208</v>
      </c>
      <c r="I13" s="15">
        <f t="shared" si="31"/>
        <v>-0.03165425323</v>
      </c>
      <c r="J13" s="15"/>
      <c r="K13" s="20" t="s">
        <v>17</v>
      </c>
      <c r="L13" s="21">
        <f t="shared" ref="L13:M13" si="32">AVEDEV(F2:F53)*52/51</f>
        <v>0.05391576065</v>
      </c>
      <c r="M13" s="21">
        <f t="shared" si="32"/>
        <v>0.03384175702</v>
      </c>
    </row>
    <row r="14">
      <c r="A14" s="6">
        <v>45971.0</v>
      </c>
      <c r="B14" s="8">
        <v>404.35</v>
      </c>
      <c r="C14" s="8">
        <v>204.08</v>
      </c>
      <c r="F14" s="16">
        <f t="shared" ref="F14:G14" si="33">B14/B15 -1</f>
        <v>-0.05860029801</v>
      </c>
      <c r="G14" s="14">
        <f t="shared" si="33"/>
        <v>0.01039706902</v>
      </c>
      <c r="H14" s="15">
        <f t="shared" ref="H14:I14" si="34">(B14-B15)/B15</f>
        <v>-0.05860029801</v>
      </c>
      <c r="I14" s="15">
        <f t="shared" si="34"/>
        <v>0.01039706902</v>
      </c>
      <c r="J14" s="15"/>
      <c r="K14" s="20" t="s">
        <v>18</v>
      </c>
      <c r="L14" s="21">
        <f t="shared" ref="L14:M14" si="35">_xlfn.VAR.S(F:F)</f>
        <v>0.004651095043</v>
      </c>
      <c r="M14" s="21">
        <f t="shared" si="35"/>
        <v>0.001724606547</v>
      </c>
    </row>
    <row r="15">
      <c r="A15" s="6">
        <v>45964.0</v>
      </c>
      <c r="B15" s="8">
        <v>429.52</v>
      </c>
      <c r="C15" s="8">
        <v>201.98</v>
      </c>
      <c r="F15" s="16">
        <f t="shared" ref="F15:G15" si="36">B15/B16 -1</f>
        <v>-0.05922551253</v>
      </c>
      <c r="G15" s="14">
        <f t="shared" si="36"/>
        <v>-0.01082325285</v>
      </c>
      <c r="H15" s="15">
        <f t="shared" ref="H15:I15" si="37">(B15-B16)/B16</f>
        <v>-0.05922551253</v>
      </c>
      <c r="I15" s="15">
        <f t="shared" si="37"/>
        <v>-0.01082325285</v>
      </c>
      <c r="J15" s="15"/>
      <c r="K15" s="20" t="s">
        <v>19</v>
      </c>
      <c r="L15" s="21">
        <f t="shared" ref="L15:M15" si="38">_xlfn.STDEV.S(F:F)</f>
        <v>0.06819893725</v>
      </c>
      <c r="M15" s="21">
        <f t="shared" si="38"/>
        <v>0.04152838242</v>
      </c>
    </row>
    <row r="16">
      <c r="A16" s="6">
        <v>45957.0</v>
      </c>
      <c r="B16" s="8">
        <v>456.56</v>
      </c>
      <c r="C16" s="8">
        <v>204.19</v>
      </c>
      <c r="F16" s="16">
        <f t="shared" ref="F16:G16" si="39">B16/B17 -1</f>
        <v>0.05266070276</v>
      </c>
      <c r="G16" s="14">
        <f t="shared" si="39"/>
        <v>-0.005745727224</v>
      </c>
      <c r="H16" s="15">
        <f t="shared" ref="H16:I16" si="40">(B16-B17)/B17</f>
        <v>0.05266070276</v>
      </c>
      <c r="I16" s="15">
        <f t="shared" si="40"/>
        <v>-0.005745727224</v>
      </c>
      <c r="J16" s="15"/>
      <c r="K16" s="22" t="s">
        <v>20</v>
      </c>
      <c r="L16" s="23">
        <f t="shared" ref="L16:M16" si="41">L15/L12</f>
        <v>16.80820579</v>
      </c>
      <c r="M16" s="23">
        <f t="shared" si="41"/>
        <v>6.791033928</v>
      </c>
    </row>
    <row r="17">
      <c r="A17" s="6">
        <v>45950.0</v>
      </c>
      <c r="B17" s="8">
        <v>433.72</v>
      </c>
      <c r="C17" s="8">
        <v>205.37</v>
      </c>
      <c r="F17" s="16">
        <f t="shared" ref="F17:G17" si="42">B17/B18 -1</f>
        <v>-0.01272449978</v>
      </c>
      <c r="G17" s="14">
        <f t="shared" si="42"/>
        <v>0.03811353182</v>
      </c>
      <c r="H17" s="15">
        <f t="shared" ref="H17:I17" si="43">(B17-B18)/B18</f>
        <v>-0.01272449978</v>
      </c>
      <c r="I17" s="15">
        <f t="shared" si="43"/>
        <v>0.03811353182</v>
      </c>
      <c r="J17" s="15"/>
    </row>
    <row r="18">
      <c r="A18" s="6">
        <v>45943.0</v>
      </c>
      <c r="B18" s="8">
        <v>439.31</v>
      </c>
      <c r="C18" s="8">
        <v>197.83</v>
      </c>
      <c r="F18" s="16">
        <f t="shared" ref="F18:G18" si="44">B18/B19 -1</f>
        <v>0.06244407362</v>
      </c>
      <c r="G18" s="14">
        <f t="shared" si="44"/>
        <v>0.06808120073</v>
      </c>
      <c r="H18" s="15">
        <f t="shared" ref="H18:I18" si="45">(B18-B19)/B19</f>
        <v>0.06244407362</v>
      </c>
      <c r="I18" s="15">
        <f t="shared" si="45"/>
        <v>0.06808120073</v>
      </c>
      <c r="J18" s="15"/>
      <c r="K18" s="24" t="s">
        <v>21</v>
      </c>
      <c r="L18" s="25">
        <f t="shared" ref="L18:M18" si="46">(L4-L12)/L15</f>
        <v>-2.231475339</v>
      </c>
      <c r="M18" s="25">
        <f t="shared" si="46"/>
        <v>-2.895169022</v>
      </c>
      <c r="N18" s="4" t="s">
        <v>22</v>
      </c>
    </row>
    <row r="19">
      <c r="A19" s="6">
        <v>45936.0</v>
      </c>
      <c r="B19" s="8">
        <v>413.49</v>
      </c>
      <c r="C19" s="8">
        <v>185.22</v>
      </c>
      <c r="F19" s="16">
        <f t="shared" ref="F19:G19" si="47">B19/B20 -1</f>
        <v>-0.0380150292</v>
      </c>
      <c r="G19" s="14">
        <f t="shared" si="47"/>
        <v>-0.04815252582</v>
      </c>
      <c r="H19" s="15">
        <f t="shared" ref="H19:I19" si="48">(B19-B20)/B20</f>
        <v>-0.0380150292</v>
      </c>
      <c r="I19" s="15">
        <f t="shared" si="48"/>
        <v>-0.04815252582</v>
      </c>
      <c r="J19" s="15"/>
      <c r="K19" s="24" t="s">
        <v>23</v>
      </c>
      <c r="L19" s="25">
        <f t="shared" ref="L19:M19" si="49">(L3-L12)/L15</f>
        <v>2.587946482</v>
      </c>
      <c r="M19" s="25">
        <f t="shared" si="49"/>
        <v>2.685510447</v>
      </c>
    </row>
    <row r="20">
      <c r="A20" s="6">
        <v>45929.0</v>
      </c>
      <c r="B20" s="8">
        <v>429.83</v>
      </c>
      <c r="C20" s="8">
        <v>194.59</v>
      </c>
      <c r="F20" s="16">
        <f t="shared" ref="F20:G20" si="50">B20/B21 -1</f>
        <v>-0.02400090827</v>
      </c>
      <c r="G20" s="14">
        <f t="shared" si="50"/>
        <v>-0.01771832408</v>
      </c>
      <c r="H20" s="15">
        <f t="shared" ref="H20:I20" si="51">(B20-B21)/B21</f>
        <v>-0.02400090827</v>
      </c>
      <c r="I20" s="15">
        <f t="shared" si="51"/>
        <v>-0.01771832408</v>
      </c>
      <c r="J20" s="15"/>
    </row>
    <row r="21">
      <c r="A21" s="6">
        <v>45922.0</v>
      </c>
      <c r="B21" s="8">
        <v>440.4</v>
      </c>
      <c r="C21" s="8">
        <v>198.1</v>
      </c>
      <c r="F21" s="16">
        <f t="shared" ref="F21:G21" si="52">B21/B22 -1</f>
        <v>0.03363297111</v>
      </c>
      <c r="G21" s="14">
        <f t="shared" si="52"/>
        <v>-0.004272430259</v>
      </c>
      <c r="H21" s="15">
        <f t="shared" ref="H21:I21" si="53">(B21-B22)/B22</f>
        <v>0.03363297111</v>
      </c>
      <c r="I21" s="15">
        <f t="shared" si="53"/>
        <v>-0.004272430259</v>
      </c>
      <c r="J21" s="15"/>
    </row>
    <row r="22">
      <c r="A22" s="6">
        <v>45915.0</v>
      </c>
      <c r="B22" s="8">
        <v>426.07</v>
      </c>
      <c r="C22" s="8">
        <v>198.95</v>
      </c>
      <c r="F22" s="16">
        <f t="shared" ref="F22:G22" si="54">B22/B23 -1</f>
        <v>0.07609738849</v>
      </c>
      <c r="G22" s="14">
        <f t="shared" si="54"/>
        <v>0.01437821853</v>
      </c>
      <c r="H22" s="15">
        <f t="shared" ref="H22:I22" si="55">(B22-B23)/B23</f>
        <v>0.07609738849</v>
      </c>
      <c r="I22" s="15">
        <f t="shared" si="55"/>
        <v>0.01437821853</v>
      </c>
      <c r="J22" s="15"/>
      <c r="K22" s="24" t="s">
        <v>24</v>
      </c>
      <c r="L22" s="24">
        <f>_xlfn.COVARIANCE.S(F2:F53,G2:G53)</f>
        <v>0.0004183618257</v>
      </c>
    </row>
    <row r="23">
      <c r="A23" s="6">
        <v>45908.0</v>
      </c>
      <c r="B23" s="8">
        <v>395.94</v>
      </c>
      <c r="C23" s="8">
        <v>196.13</v>
      </c>
      <c r="F23" s="16">
        <f t="shared" ref="F23:G23" si="56">B23/B24 -1</f>
        <v>0.1285486262</v>
      </c>
      <c r="G23" s="14">
        <f t="shared" si="56"/>
        <v>-0.01748321811</v>
      </c>
      <c r="H23" s="15">
        <f t="shared" ref="H23:I23" si="57">(B23-B24)/B24</f>
        <v>0.1285486262</v>
      </c>
      <c r="I23" s="15">
        <f t="shared" si="57"/>
        <v>-0.01748321811</v>
      </c>
      <c r="J23" s="15"/>
      <c r="K23" s="24" t="s">
        <v>25</v>
      </c>
      <c r="L23" s="24">
        <f>CORREL(F2:F53,G2:G53)</f>
        <v>0.1477166423</v>
      </c>
    </row>
    <row r="24">
      <c r="A24" s="6">
        <v>45901.0</v>
      </c>
      <c r="B24" s="8">
        <v>350.84</v>
      </c>
      <c r="C24" s="8">
        <v>199.62</v>
      </c>
      <c r="F24" s="16">
        <f t="shared" ref="F24:G24" si="58">B24/B25 -1</f>
        <v>0.05082816665</v>
      </c>
      <c r="G24" s="14">
        <f t="shared" si="58"/>
        <v>0.02595466927</v>
      </c>
      <c r="H24" s="15">
        <f t="shared" ref="H24:I24" si="59">(B24-B25)/B25</f>
        <v>0.05082816665</v>
      </c>
      <c r="I24" s="15">
        <f t="shared" si="59"/>
        <v>0.02595466927</v>
      </c>
      <c r="J24" s="15"/>
    </row>
    <row r="25">
      <c r="A25" s="6">
        <v>45894.0</v>
      </c>
      <c r="B25" s="8">
        <v>333.87</v>
      </c>
      <c r="C25" s="8">
        <v>194.57</v>
      </c>
      <c r="F25" s="16">
        <f t="shared" ref="F25:G25" si="60">B25/B26 -1</f>
        <v>-0.0180582924</v>
      </c>
      <c r="G25" s="14">
        <f t="shared" si="60"/>
        <v>-0.03376868451</v>
      </c>
      <c r="H25" s="15">
        <f t="shared" ref="H25:I25" si="61">(B25-B26)/B26</f>
        <v>-0.0180582924</v>
      </c>
      <c r="I25" s="15">
        <f t="shared" si="61"/>
        <v>-0.03376868451</v>
      </c>
      <c r="J25" s="15"/>
    </row>
    <row r="26">
      <c r="A26" s="6">
        <v>45887.0</v>
      </c>
      <c r="B26" s="8">
        <v>340.01</v>
      </c>
      <c r="C26" s="8">
        <v>201.37</v>
      </c>
      <c r="F26" s="16">
        <f t="shared" ref="F26:G26" si="62">B26/B27 -1</f>
        <v>0.02858785092</v>
      </c>
      <c r="G26" s="14">
        <f t="shared" si="62"/>
        <v>0.03981204172</v>
      </c>
      <c r="H26" s="15">
        <f t="shared" ref="H26:I26" si="63">(B26-B27)/B27</f>
        <v>0.02858785092</v>
      </c>
      <c r="I26" s="15">
        <f t="shared" si="63"/>
        <v>0.03981204172</v>
      </c>
      <c r="J26" s="15"/>
      <c r="K26" s="26" t="s">
        <v>26</v>
      </c>
      <c r="L26" s="27">
        <v>3.96</v>
      </c>
    </row>
    <row r="27">
      <c r="A27" s="6">
        <v>45880.0</v>
      </c>
      <c r="B27" s="8">
        <v>330.56</v>
      </c>
      <c r="C27" s="8">
        <v>193.66</v>
      </c>
      <c r="F27" s="16">
        <f t="shared" ref="F27:G27" si="64">B27/B28 -1</f>
        <v>0.002760503564</v>
      </c>
      <c r="G27" s="14">
        <f t="shared" si="64"/>
        <v>0.0266115352</v>
      </c>
      <c r="H27" s="15">
        <f t="shared" ref="H27:I27" si="65">(B27-B28)/B28</f>
        <v>0.002760503564</v>
      </c>
      <c r="I27" s="15">
        <f t="shared" si="65"/>
        <v>0.0266115352</v>
      </c>
      <c r="J27" s="15"/>
    </row>
    <row r="28">
      <c r="A28" s="6">
        <v>45873.0</v>
      </c>
      <c r="B28" s="8">
        <v>329.65</v>
      </c>
      <c r="C28" s="8">
        <v>188.64</v>
      </c>
      <c r="F28" s="16">
        <f t="shared" ref="F28:G28" si="66">B28/B29 -1</f>
        <v>0.08928394409</v>
      </c>
      <c r="G28" s="14">
        <f t="shared" si="66"/>
        <v>0.04980800267</v>
      </c>
      <c r="H28" s="15">
        <f t="shared" ref="H28:I28" si="67">(B28-B29)/B29</f>
        <v>0.08928394409</v>
      </c>
      <c r="I28" s="15">
        <f t="shared" si="67"/>
        <v>0.04980800267</v>
      </c>
      <c r="J28" s="15"/>
      <c r="K28" s="17" t="s">
        <v>27</v>
      </c>
      <c r="L28" s="28">
        <f>(L12-L26)/L15</f>
        <v>-58.0059262</v>
      </c>
      <c r="M28" s="28">
        <f>(M12-L26)/M15</f>
        <v>-95.20921815</v>
      </c>
    </row>
    <row r="29">
      <c r="A29" s="6">
        <v>45866.0</v>
      </c>
      <c r="B29" s="8">
        <v>302.63</v>
      </c>
      <c r="C29" s="8">
        <v>179.69</v>
      </c>
      <c r="F29" s="16">
        <f t="shared" ref="F29:G29" si="68">B29/B30 -1</f>
        <v>-0.04249193191</v>
      </c>
      <c r="G29" s="14">
        <f t="shared" si="68"/>
        <v>-0.04668682689</v>
      </c>
      <c r="H29" s="15">
        <f t="shared" ref="H29:I29" si="69">(B29-B30)/B30</f>
        <v>-0.04249193191</v>
      </c>
      <c r="I29" s="15">
        <f t="shared" si="69"/>
        <v>-0.04668682689</v>
      </c>
      <c r="J29" s="15"/>
    </row>
    <row r="30">
      <c r="A30" s="6">
        <v>45859.0</v>
      </c>
      <c r="B30" s="8">
        <v>316.06</v>
      </c>
      <c r="C30" s="8">
        <v>188.49</v>
      </c>
      <c r="F30" s="16">
        <f t="shared" ref="F30:G30" si="70">B30/B31 -1</f>
        <v>-0.04122554224</v>
      </c>
      <c r="G30" s="14">
        <f t="shared" si="70"/>
        <v>0.117640083</v>
      </c>
      <c r="H30" s="15">
        <f t="shared" ref="H30:I30" si="71">(B30-B31)/B31</f>
        <v>-0.04122554224</v>
      </c>
      <c r="I30" s="15">
        <f t="shared" si="71"/>
        <v>0.117640083</v>
      </c>
      <c r="J30" s="15"/>
    </row>
    <row r="31">
      <c r="A31" s="6">
        <v>45852.0</v>
      </c>
      <c r="B31" s="8">
        <v>329.65</v>
      </c>
      <c r="C31" s="8">
        <v>168.65</v>
      </c>
      <c r="F31" s="16">
        <f t="shared" ref="F31:G31" si="72">B31/B32 -1</f>
        <v>0.05148161143</v>
      </c>
      <c r="G31" s="14">
        <f t="shared" si="72"/>
        <v>-0.009456125925</v>
      </c>
      <c r="H31" s="15">
        <f t="shared" ref="H31:I31" si="73">(B31-B32)/B32</f>
        <v>0.05148161143</v>
      </c>
      <c r="I31" s="15">
        <f t="shared" si="73"/>
        <v>-0.009456125925</v>
      </c>
      <c r="J31" s="15"/>
      <c r="K31" s="29" t="s">
        <v>28</v>
      </c>
      <c r="L31" s="30">
        <f>_xlfn.CHISQ.INV(1-0.05,51)</f>
        <v>68.66929391</v>
      </c>
    </row>
    <row r="32">
      <c r="A32" s="6">
        <v>45845.0</v>
      </c>
      <c r="B32" s="8">
        <v>313.51</v>
      </c>
      <c r="C32" s="8">
        <v>170.26</v>
      </c>
      <c r="F32" s="16">
        <f t="shared" ref="F32:G32" si="74">B32/B33 -1</f>
        <v>-0.005834786745</v>
      </c>
      <c r="G32" s="14">
        <f t="shared" si="74"/>
        <v>-0.02647378352</v>
      </c>
      <c r="H32" s="15">
        <f t="shared" ref="H32:I32" si="75">(B32-B33)/B33</f>
        <v>-0.005834786745</v>
      </c>
      <c r="I32" s="15">
        <f t="shared" si="75"/>
        <v>-0.02647378352</v>
      </c>
      <c r="J32" s="15"/>
    </row>
    <row r="33">
      <c r="A33" s="6">
        <v>45838.0</v>
      </c>
      <c r="B33" s="8">
        <v>315.35</v>
      </c>
      <c r="C33" s="8">
        <v>174.89</v>
      </c>
      <c r="F33" s="16">
        <f t="shared" ref="F33:G33" si="76">B33/B34 -1</f>
        <v>-0.02558477273</v>
      </c>
      <c r="G33" s="14">
        <f t="shared" si="76"/>
        <v>-0.004836690566</v>
      </c>
      <c r="H33" s="15">
        <f t="shared" ref="H33:I33" si="77">(B33-B34)/B34</f>
        <v>-0.02558477273</v>
      </c>
      <c r="I33" s="15">
        <f t="shared" si="77"/>
        <v>-0.004836690566</v>
      </c>
      <c r="J33" s="15"/>
      <c r="K33" s="4" t="s">
        <v>29</v>
      </c>
      <c r="L33" s="4">
        <f>_xlfn.F.INV(0.95, 51, 51)</f>
        <v>1.591972238</v>
      </c>
    </row>
    <row r="34">
      <c r="A34" s="6">
        <v>45831.0</v>
      </c>
      <c r="B34" s="8">
        <v>323.63</v>
      </c>
      <c r="C34" s="8">
        <v>175.74</v>
      </c>
      <c r="F34" s="16">
        <f t="shared" ref="F34:G34" si="78">B34/B35 -1</f>
        <v>0.004562950087</v>
      </c>
      <c r="G34" s="14">
        <f t="shared" si="78"/>
        <v>0.01937354988</v>
      </c>
      <c r="H34" s="15">
        <f t="shared" ref="H34:I34" si="79">(B34-B35)/B35</f>
        <v>0.004562950087</v>
      </c>
      <c r="I34" s="15">
        <f t="shared" si="79"/>
        <v>0.01937354988</v>
      </c>
      <c r="J34" s="15"/>
    </row>
    <row r="35">
      <c r="A35" s="6">
        <v>45824.0</v>
      </c>
      <c r="B35" s="8">
        <v>322.16</v>
      </c>
      <c r="C35" s="8">
        <v>172.4</v>
      </c>
      <c r="F35" s="16">
        <f t="shared" ref="F35:G35" si="80">B35/B36 -1</f>
        <v>-0.009683071532</v>
      </c>
      <c r="G35" s="14">
        <f t="shared" si="80"/>
        <v>-0.03552447552</v>
      </c>
      <c r="H35" s="15">
        <f t="shared" ref="H35:I35" si="81">(B35-B36)/B36</f>
        <v>-0.009683071532</v>
      </c>
      <c r="I35" s="15">
        <f t="shared" si="81"/>
        <v>-0.03552447552</v>
      </c>
      <c r="J35" s="15"/>
    </row>
    <row r="36">
      <c r="A36" s="6">
        <v>45817.0</v>
      </c>
      <c r="B36" s="8">
        <v>325.31</v>
      </c>
      <c r="C36" s="8">
        <v>178.75</v>
      </c>
      <c r="F36" s="16">
        <f t="shared" ref="F36:G36" si="82">B36/B37 -1</f>
        <v>0.102222674</v>
      </c>
      <c r="G36" s="14">
        <f t="shared" si="82"/>
        <v>-0.03451442152</v>
      </c>
      <c r="H36" s="15">
        <f t="shared" ref="H36:I36" si="83">(B36-B37)/B37</f>
        <v>0.102222674</v>
      </c>
      <c r="I36" s="15">
        <f t="shared" si="83"/>
        <v>-0.03451442152</v>
      </c>
      <c r="J36" s="15"/>
    </row>
    <row r="37">
      <c r="A37" s="6">
        <v>45810.0</v>
      </c>
      <c r="B37" s="8">
        <v>295.14</v>
      </c>
      <c r="C37" s="8">
        <v>185.14</v>
      </c>
      <c r="F37" s="16">
        <f t="shared" ref="F37:G37" si="84">B37/B38 -1</f>
        <v>-0.1481267679</v>
      </c>
      <c r="G37" s="14">
        <f t="shared" si="84"/>
        <v>-0.02849346697</v>
      </c>
      <c r="H37" s="15">
        <f t="shared" ref="H37:I37" si="85">(B37-B38)/B38</f>
        <v>-0.1481267679</v>
      </c>
      <c r="I37" s="15">
        <f t="shared" si="85"/>
        <v>-0.02849346697</v>
      </c>
      <c r="J37" s="15"/>
    </row>
    <row r="38">
      <c r="A38" s="6">
        <v>45803.0</v>
      </c>
      <c r="B38" s="8">
        <v>346.46</v>
      </c>
      <c r="C38" s="8">
        <v>190.57</v>
      </c>
      <c r="F38" s="16">
        <f t="shared" ref="F38:G38" si="86">B38/B39 -1</f>
        <v>0.02098190605</v>
      </c>
      <c r="G38" s="14">
        <f t="shared" si="86"/>
        <v>0.04536478332</v>
      </c>
      <c r="H38" s="15">
        <f t="shared" ref="H38:I38" si="87">(B38-B39)/B39</f>
        <v>0.02098190605</v>
      </c>
      <c r="I38" s="15">
        <f t="shared" si="87"/>
        <v>0.04536478332</v>
      </c>
      <c r="J38" s="15"/>
    </row>
    <row r="39">
      <c r="A39" s="6">
        <v>45796.0</v>
      </c>
      <c r="B39" s="8">
        <v>339.34</v>
      </c>
      <c r="C39" s="8">
        <v>182.3</v>
      </c>
      <c r="F39" s="16">
        <f t="shared" ref="F39:G39" si="88">B39/B40 -1</f>
        <v>-0.03040173724</v>
      </c>
      <c r="G39" s="14">
        <f t="shared" si="88"/>
        <v>-0.004858343796</v>
      </c>
      <c r="H39" s="15">
        <f t="shared" ref="H39:I39" si="89">(B39-B40)/B40</f>
        <v>-0.03040173724</v>
      </c>
      <c r="I39" s="15">
        <f t="shared" si="89"/>
        <v>-0.004858343796</v>
      </c>
      <c r="J39" s="15"/>
    </row>
    <row r="40">
      <c r="A40" s="6">
        <v>45789.0</v>
      </c>
      <c r="B40" s="8">
        <v>349.98</v>
      </c>
      <c r="C40" s="8">
        <v>183.19</v>
      </c>
      <c r="F40" s="16">
        <f t="shared" ref="F40:G40" si="90">B40/B41 -1</f>
        <v>0.1734057534</v>
      </c>
      <c r="G40" s="14">
        <f t="shared" si="90"/>
        <v>-0.02314296379</v>
      </c>
      <c r="H40" s="15">
        <f t="shared" ref="H40:I40" si="91">(B40-B41)/B41</f>
        <v>0.1734057534</v>
      </c>
      <c r="I40" s="15">
        <f t="shared" si="91"/>
        <v>-0.02314296379</v>
      </c>
      <c r="J40" s="15"/>
    </row>
    <row r="41">
      <c r="A41" s="6">
        <v>45782.0</v>
      </c>
      <c r="B41" s="8">
        <v>298.26</v>
      </c>
      <c r="C41" s="8">
        <v>187.53</v>
      </c>
      <c r="F41" s="16">
        <f t="shared" ref="F41:G41" si="92">B41/B42 -1</f>
        <v>0.03847359075</v>
      </c>
      <c r="G41" s="14">
        <f t="shared" si="92"/>
        <v>-0.02450062422</v>
      </c>
      <c r="H41" s="15">
        <f t="shared" ref="H41:I41" si="93">(B41-B42)/B42</f>
        <v>0.03847359075</v>
      </c>
      <c r="I41" s="15">
        <f t="shared" si="93"/>
        <v>-0.02450062422</v>
      </c>
      <c r="J41" s="15"/>
    </row>
    <row r="42">
      <c r="A42" s="6">
        <v>45775.0</v>
      </c>
      <c r="B42" s="8">
        <v>287.21</v>
      </c>
      <c r="C42" s="8">
        <v>192.24</v>
      </c>
      <c r="F42" s="16">
        <f t="shared" ref="F42:G42" si="94">B42/B43 -1</f>
        <v>0.007931216003</v>
      </c>
      <c r="G42" s="14">
        <f t="shared" si="94"/>
        <v>0.02141225227</v>
      </c>
      <c r="H42" s="15">
        <f t="shared" ref="H42:I42" si="95">(B42-B43)/B43</f>
        <v>0.007931216003</v>
      </c>
      <c r="I42" s="15">
        <f t="shared" si="95"/>
        <v>0.02141225227</v>
      </c>
      <c r="J42" s="15"/>
    </row>
    <row r="43">
      <c r="A43" s="6">
        <v>45768.0</v>
      </c>
      <c r="B43" s="8">
        <v>284.95</v>
      </c>
      <c r="C43" s="8">
        <v>188.21</v>
      </c>
      <c r="F43" s="16">
        <f t="shared" ref="F43:G43" si="96">B43/B44 -1</f>
        <v>0.1805526785</v>
      </c>
      <c r="G43" s="14">
        <f t="shared" si="96"/>
        <v>0.0670710965</v>
      </c>
      <c r="H43" s="15">
        <f t="shared" ref="H43:I43" si="97">(B43-B44)/B44</f>
        <v>0.1805526785</v>
      </c>
      <c r="I43" s="15">
        <f t="shared" si="97"/>
        <v>0.0670710965</v>
      </c>
      <c r="J43" s="15"/>
    </row>
    <row r="44">
      <c r="A44" s="6">
        <v>45761.0</v>
      </c>
      <c r="B44" s="8">
        <v>241.37</v>
      </c>
      <c r="C44" s="8">
        <v>176.38</v>
      </c>
      <c r="F44" s="16">
        <f t="shared" ref="F44:G44" si="98">B44/B45 -1</f>
        <v>-0.04335935952</v>
      </c>
      <c r="G44" s="14">
        <f t="shared" si="98"/>
        <v>0.04108133632</v>
      </c>
      <c r="H44" s="15">
        <f t="shared" ref="H44:I44" si="99">(B44-B45)/B45</f>
        <v>-0.04335935952</v>
      </c>
      <c r="I44" s="15">
        <f t="shared" si="99"/>
        <v>0.04108133632</v>
      </c>
      <c r="J44" s="15"/>
    </row>
    <row r="45">
      <c r="A45" s="6">
        <v>45754.0</v>
      </c>
      <c r="B45" s="8">
        <v>252.31</v>
      </c>
      <c r="C45" s="8">
        <v>169.42</v>
      </c>
      <c r="F45" s="16">
        <f t="shared" ref="F45:G45" si="100">B45/B46 -1</f>
        <v>0.05379442843</v>
      </c>
      <c r="G45" s="14">
        <f t="shared" si="100"/>
        <v>0.08902744745</v>
      </c>
      <c r="H45" s="15">
        <f t="shared" ref="H45:I45" si="101">(B45-B46)/B46</f>
        <v>0.05379442843</v>
      </c>
      <c r="I45" s="15">
        <f t="shared" si="101"/>
        <v>0.08902744745</v>
      </c>
      <c r="J45" s="15"/>
    </row>
    <row r="46">
      <c r="A46" s="6">
        <v>45747.0</v>
      </c>
      <c r="B46" s="8">
        <v>239.43</v>
      </c>
      <c r="C46" s="8">
        <v>155.57</v>
      </c>
      <c r="F46" s="16">
        <f t="shared" ref="F46:G46" si="102">B46/B47 -1</f>
        <v>-0.09151963574</v>
      </c>
      <c r="G46" s="14">
        <f t="shared" si="102"/>
        <v>-0.1141165082</v>
      </c>
      <c r="H46" s="15">
        <f t="shared" ref="H46:I46" si="103">(B46-B47)/B47</f>
        <v>-0.09151963574</v>
      </c>
      <c r="I46" s="15">
        <f t="shared" si="103"/>
        <v>-0.1141165082</v>
      </c>
      <c r="J46" s="15"/>
    </row>
    <row r="47">
      <c r="A47" s="6">
        <v>45740.0</v>
      </c>
      <c r="B47" s="8">
        <v>263.55</v>
      </c>
      <c r="C47" s="8">
        <v>175.61</v>
      </c>
      <c r="F47" s="16">
        <f t="shared" ref="F47:G47" si="104">B47/B48 -1</f>
        <v>0.05966788629</v>
      </c>
      <c r="G47" s="14">
        <f t="shared" si="104"/>
        <v>-0.0610095177</v>
      </c>
      <c r="H47" s="15">
        <f t="shared" ref="H47:I47" si="105">(B47-B48)/B48</f>
        <v>0.05966788629</v>
      </c>
      <c r="I47" s="15">
        <f t="shared" si="105"/>
        <v>-0.0610095177</v>
      </c>
      <c r="J47" s="15"/>
    </row>
    <row r="48">
      <c r="A48" s="6">
        <v>45733.0</v>
      </c>
      <c r="B48" s="8">
        <v>248.71</v>
      </c>
      <c r="C48" s="8">
        <v>187.02</v>
      </c>
      <c r="F48" s="16">
        <f t="shared" ref="F48:G48" si="106">B48/B49 -1</f>
        <v>-0.005080406433</v>
      </c>
      <c r="G48" s="14">
        <f t="shared" si="106"/>
        <v>0.02157644617</v>
      </c>
      <c r="H48" s="15">
        <f t="shared" ref="H48:I48" si="107">(B48-B49)/B49</f>
        <v>-0.005080406433</v>
      </c>
      <c r="I48" s="15">
        <f t="shared" si="107"/>
        <v>0.02157644617</v>
      </c>
      <c r="J48" s="15"/>
    </row>
    <row r="49">
      <c r="A49" s="6">
        <v>45726.0</v>
      </c>
      <c r="B49" s="8">
        <v>249.98</v>
      </c>
      <c r="C49" s="8">
        <v>183.07</v>
      </c>
      <c r="F49" s="16">
        <f t="shared" ref="F49:G49" si="108">B49/B50 -1</f>
        <v>-0.04831156965</v>
      </c>
      <c r="G49" s="14">
        <f t="shared" si="108"/>
        <v>-0.01844405126</v>
      </c>
      <c r="H49" s="15">
        <f t="shared" ref="H49:I49" si="109">(B49-B50)/B50</f>
        <v>-0.04831156965</v>
      </c>
      <c r="I49" s="15">
        <f t="shared" si="109"/>
        <v>-0.01844405126</v>
      </c>
      <c r="J49" s="15"/>
    </row>
    <row r="50">
      <c r="A50" s="6">
        <v>45719.0</v>
      </c>
      <c r="B50" s="8">
        <v>262.67</v>
      </c>
      <c r="C50" s="8">
        <v>186.51</v>
      </c>
      <c r="F50" s="16">
        <f t="shared" ref="F50:G50" si="110">B50/B51 -1</f>
        <v>-0.1034541607</v>
      </c>
      <c r="G50" s="14">
        <f t="shared" si="110"/>
        <v>0.04792673334</v>
      </c>
      <c r="H50" s="15">
        <f t="shared" ref="H50:I50" si="111">(B50-B51)/B51</f>
        <v>-0.1034541607</v>
      </c>
      <c r="I50" s="15">
        <f t="shared" si="111"/>
        <v>0.04792673334</v>
      </c>
      <c r="J50" s="15"/>
    </row>
    <row r="51">
      <c r="A51" s="6">
        <v>45712.0</v>
      </c>
      <c r="B51" s="8">
        <v>292.98</v>
      </c>
      <c r="C51" s="8">
        <v>177.98</v>
      </c>
      <c r="F51" s="16">
        <f t="shared" ref="F51:G51" si="112">B51/B52 -1</f>
        <v>-0.1326820604</v>
      </c>
      <c r="G51" s="14">
        <f t="shared" si="112"/>
        <v>0.02469917669</v>
      </c>
      <c r="H51" s="15">
        <f t="shared" ref="H51:I51" si="113">(B51-B52)/B52</f>
        <v>-0.1326820604</v>
      </c>
      <c r="I51" s="15">
        <f t="shared" si="113"/>
        <v>0.02469917669</v>
      </c>
      <c r="J51" s="15"/>
    </row>
    <row r="52">
      <c r="A52" s="6">
        <v>45705.0</v>
      </c>
      <c r="B52" s="8">
        <v>337.8</v>
      </c>
      <c r="C52" s="8">
        <v>173.69</v>
      </c>
      <c r="F52" s="16">
        <f t="shared" ref="F52:G52" si="114">B52/B53 -1</f>
        <v>-0.05069694245</v>
      </c>
      <c r="G52" s="14">
        <f t="shared" si="114"/>
        <v>-0.03868718176</v>
      </c>
      <c r="H52" s="15">
        <f t="shared" ref="H52:I52" si="115">(B52-B53)/B53</f>
        <v>-0.05069694245</v>
      </c>
      <c r="I52" s="15">
        <f t="shared" si="115"/>
        <v>-0.03868718176</v>
      </c>
      <c r="J52" s="15"/>
    </row>
    <row r="53">
      <c r="A53" s="6">
        <v>45698.0</v>
      </c>
      <c r="B53" s="8">
        <v>355.84</v>
      </c>
      <c r="C53" s="8">
        <v>180.68</v>
      </c>
      <c r="F53" s="16">
        <f t="shared" ref="F53:G53" si="116">B53/B54 -1</f>
        <v>-0.01598362922</v>
      </c>
      <c r="G53" s="14">
        <f t="shared" si="116"/>
        <v>0.001385578895</v>
      </c>
      <c r="H53" s="15">
        <f t="shared" ref="H53:I53" si="117">(B53-B54)/B54</f>
        <v>-0.01598362922</v>
      </c>
      <c r="I53" s="15">
        <f t="shared" si="117"/>
        <v>0.001385578895</v>
      </c>
      <c r="J53" s="15"/>
    </row>
    <row r="54">
      <c r="A54" s="6">
        <v>45691.0</v>
      </c>
      <c r="B54" s="8">
        <v>361.62</v>
      </c>
      <c r="C54" s="8">
        <v>180.43</v>
      </c>
      <c r="F54" s="31"/>
      <c r="G54" s="15"/>
    </row>
    <row r="55">
      <c r="G55" s="15"/>
    </row>
    <row r="56">
      <c r="G56" s="15"/>
    </row>
    <row r="57">
      <c r="G57" s="15"/>
    </row>
    <row r="58">
      <c r="G58" s="15"/>
    </row>
    <row r="59">
      <c r="G59" s="15"/>
    </row>
    <row r="60">
      <c r="G60" s="15"/>
    </row>
    <row r="61">
      <c r="G61" s="15"/>
    </row>
    <row r="62">
      <c r="G62" s="15"/>
    </row>
    <row r="63">
      <c r="G63" s="15"/>
    </row>
    <row r="64">
      <c r="G64" s="15"/>
    </row>
    <row r="65">
      <c r="G65" s="15"/>
    </row>
    <row r="66">
      <c r="G66" s="15"/>
    </row>
    <row r="67">
      <c r="G67" s="15"/>
    </row>
    <row r="68">
      <c r="G68" s="15"/>
    </row>
    <row r="69">
      <c r="G69" s="15"/>
    </row>
    <row r="70">
      <c r="G70" s="15"/>
    </row>
    <row r="71">
      <c r="G71" s="15"/>
    </row>
    <row r="72">
      <c r="G72" s="15"/>
    </row>
    <row r="73">
      <c r="G73" s="15"/>
    </row>
    <row r="74">
      <c r="G74" s="15"/>
    </row>
    <row r="75">
      <c r="G75" s="15"/>
    </row>
    <row r="76">
      <c r="G76" s="15"/>
    </row>
    <row r="77">
      <c r="G77" s="15"/>
    </row>
    <row r="78">
      <c r="G78" s="15"/>
    </row>
    <row r="79">
      <c r="G79" s="15"/>
    </row>
    <row r="80">
      <c r="G80" s="15"/>
    </row>
    <row r="81">
      <c r="G81" s="15"/>
    </row>
    <row r="82">
      <c r="G82" s="15"/>
    </row>
    <row r="83">
      <c r="G83" s="15"/>
    </row>
    <row r="84">
      <c r="G84" s="15"/>
    </row>
    <row r="85">
      <c r="G85" s="15"/>
    </row>
    <row r="86">
      <c r="G86" s="15"/>
    </row>
    <row r="87">
      <c r="G87" s="15"/>
    </row>
    <row r="88">
      <c r="G88" s="15"/>
    </row>
    <row r="89">
      <c r="G89" s="15"/>
    </row>
    <row r="90">
      <c r="G90" s="15"/>
    </row>
    <row r="91">
      <c r="G91" s="15"/>
    </row>
    <row r="92">
      <c r="G92" s="15"/>
    </row>
    <row r="93">
      <c r="G93" s="15"/>
    </row>
    <row r="94">
      <c r="G94" s="15"/>
    </row>
    <row r="95">
      <c r="G95" s="15"/>
    </row>
    <row r="96">
      <c r="G96" s="15"/>
    </row>
    <row r="97">
      <c r="G97" s="15"/>
    </row>
    <row r="98">
      <c r="G98" s="15"/>
    </row>
    <row r="99">
      <c r="G99" s="15"/>
    </row>
    <row r="100">
      <c r="G100" s="15"/>
    </row>
    <row r="101">
      <c r="G101" s="15"/>
    </row>
    <row r="102">
      <c r="G102" s="15"/>
    </row>
    <row r="103">
      <c r="G103" s="15"/>
    </row>
    <row r="104">
      <c r="G104" s="15"/>
    </row>
    <row r="105">
      <c r="G105" s="15"/>
    </row>
    <row r="106">
      <c r="G106" s="15"/>
    </row>
    <row r="107">
      <c r="G107" s="15"/>
    </row>
    <row r="108">
      <c r="G108" s="15"/>
    </row>
    <row r="109">
      <c r="G109" s="15"/>
    </row>
    <row r="110">
      <c r="G110" s="15"/>
    </row>
    <row r="111">
      <c r="G111" s="15"/>
    </row>
    <row r="112">
      <c r="G112" s="15"/>
    </row>
    <row r="113">
      <c r="G113" s="15"/>
    </row>
    <row r="114">
      <c r="G114" s="15"/>
    </row>
    <row r="115">
      <c r="G115" s="15"/>
    </row>
    <row r="116">
      <c r="G116" s="15"/>
    </row>
    <row r="117">
      <c r="G117" s="15"/>
    </row>
    <row r="118">
      <c r="G118" s="15"/>
    </row>
    <row r="119">
      <c r="G119" s="15"/>
    </row>
    <row r="120">
      <c r="G120" s="15"/>
    </row>
    <row r="121">
      <c r="G121" s="15"/>
    </row>
    <row r="122">
      <c r="G122" s="15"/>
    </row>
    <row r="123">
      <c r="G123" s="15"/>
    </row>
    <row r="124">
      <c r="G124" s="15"/>
    </row>
    <row r="125">
      <c r="G125" s="15"/>
    </row>
    <row r="126">
      <c r="G126" s="15"/>
    </row>
    <row r="127">
      <c r="G127" s="15"/>
    </row>
    <row r="128">
      <c r="G128" s="15"/>
    </row>
    <row r="129">
      <c r="G129" s="15"/>
    </row>
    <row r="130">
      <c r="G130" s="15"/>
    </row>
    <row r="131">
      <c r="G131" s="15"/>
    </row>
    <row r="132">
      <c r="G132" s="15"/>
    </row>
    <row r="133">
      <c r="G133" s="15"/>
    </row>
    <row r="134">
      <c r="G134" s="15"/>
    </row>
    <row r="135">
      <c r="G135" s="15"/>
    </row>
    <row r="136">
      <c r="G136" s="15"/>
    </row>
    <row r="137">
      <c r="G137" s="15"/>
    </row>
    <row r="138">
      <c r="G138" s="15"/>
    </row>
    <row r="139">
      <c r="G139" s="15"/>
    </row>
    <row r="140">
      <c r="G140" s="15"/>
    </row>
    <row r="141">
      <c r="G141" s="15"/>
    </row>
    <row r="142">
      <c r="G142" s="15"/>
    </row>
    <row r="143">
      <c r="G143" s="15"/>
    </row>
    <row r="144">
      <c r="G144" s="15"/>
    </row>
    <row r="145">
      <c r="G145" s="15"/>
    </row>
    <row r="146">
      <c r="G146" s="15"/>
    </row>
    <row r="147">
      <c r="G147" s="15"/>
    </row>
    <row r="148">
      <c r="G148" s="15"/>
    </row>
    <row r="149">
      <c r="G149" s="15"/>
    </row>
    <row r="150">
      <c r="G150" s="15"/>
    </row>
    <row r="151">
      <c r="G151" s="15"/>
    </row>
    <row r="152">
      <c r="G152" s="15"/>
    </row>
    <row r="153">
      <c r="G153" s="15"/>
    </row>
    <row r="154">
      <c r="G154" s="15"/>
    </row>
    <row r="155">
      <c r="G155" s="15"/>
    </row>
    <row r="156">
      <c r="G156" s="15"/>
    </row>
    <row r="157">
      <c r="G157" s="15"/>
    </row>
    <row r="158">
      <c r="G158" s="15"/>
    </row>
    <row r="159">
      <c r="G159" s="15"/>
    </row>
    <row r="160">
      <c r="G160" s="15"/>
    </row>
    <row r="161">
      <c r="G161" s="15"/>
    </row>
    <row r="162">
      <c r="G162" s="15"/>
    </row>
    <row r="163">
      <c r="G163" s="15"/>
    </row>
    <row r="164">
      <c r="G164" s="15"/>
    </row>
    <row r="165">
      <c r="G165" s="15"/>
    </row>
    <row r="166">
      <c r="G166" s="15"/>
    </row>
    <row r="167">
      <c r="G167" s="15"/>
    </row>
    <row r="168">
      <c r="G168" s="15"/>
    </row>
    <row r="169">
      <c r="G169" s="15"/>
    </row>
    <row r="170">
      <c r="G170" s="15"/>
    </row>
    <row r="171">
      <c r="G171" s="15"/>
    </row>
    <row r="172">
      <c r="G172" s="15"/>
    </row>
    <row r="173">
      <c r="G173" s="15"/>
    </row>
    <row r="174">
      <c r="G174" s="15"/>
    </row>
    <row r="175">
      <c r="G175" s="15"/>
    </row>
    <row r="176">
      <c r="G176" s="15"/>
    </row>
    <row r="177">
      <c r="G177" s="15"/>
    </row>
    <row r="178">
      <c r="G178" s="15"/>
    </row>
    <row r="179">
      <c r="G179" s="15"/>
    </row>
    <row r="180">
      <c r="G180" s="15"/>
    </row>
    <row r="181">
      <c r="G181" s="15"/>
    </row>
    <row r="182">
      <c r="G182" s="15"/>
    </row>
    <row r="183">
      <c r="G183" s="15"/>
    </row>
    <row r="184">
      <c r="G184" s="15"/>
    </row>
    <row r="185">
      <c r="G185" s="15"/>
    </row>
    <row r="186">
      <c r="G186" s="15"/>
    </row>
    <row r="187">
      <c r="G187" s="15"/>
    </row>
    <row r="188">
      <c r="G188" s="15"/>
    </row>
    <row r="189">
      <c r="G189" s="15"/>
    </row>
    <row r="190">
      <c r="G190" s="15"/>
    </row>
    <row r="191">
      <c r="G191" s="15"/>
    </row>
    <row r="192">
      <c r="G192" s="15"/>
    </row>
    <row r="193">
      <c r="G193" s="15"/>
    </row>
    <row r="194">
      <c r="G194" s="15"/>
    </row>
    <row r="195">
      <c r="G195" s="15"/>
    </row>
    <row r="196">
      <c r="G196" s="15"/>
    </row>
    <row r="197">
      <c r="G197" s="15"/>
    </row>
    <row r="198">
      <c r="G198" s="15"/>
    </row>
    <row r="199">
      <c r="G199" s="15"/>
    </row>
    <row r="200">
      <c r="G200" s="15"/>
    </row>
    <row r="201">
      <c r="G201" s="15"/>
    </row>
    <row r="202">
      <c r="G202" s="15"/>
    </row>
    <row r="203">
      <c r="G203" s="15"/>
    </row>
    <row r="204">
      <c r="G204" s="15"/>
    </row>
    <row r="205">
      <c r="G205" s="15"/>
    </row>
    <row r="206">
      <c r="G206" s="15"/>
    </row>
    <row r="207">
      <c r="G207" s="15"/>
    </row>
    <row r="208">
      <c r="G208" s="15"/>
    </row>
    <row r="209">
      <c r="G209" s="15"/>
    </row>
    <row r="210">
      <c r="G210" s="15"/>
    </row>
    <row r="211">
      <c r="G211" s="15"/>
    </row>
    <row r="212">
      <c r="G212" s="15"/>
    </row>
    <row r="213">
      <c r="G213" s="15"/>
    </row>
    <row r="214">
      <c r="G214" s="15"/>
    </row>
    <row r="215">
      <c r="G215" s="15"/>
    </row>
    <row r="216">
      <c r="G216" s="15"/>
    </row>
    <row r="217">
      <c r="G217" s="15"/>
    </row>
    <row r="218">
      <c r="G218" s="15"/>
    </row>
    <row r="219">
      <c r="G219" s="15"/>
    </row>
    <row r="220">
      <c r="G220" s="15"/>
    </row>
    <row r="221">
      <c r="G221" s="15"/>
    </row>
    <row r="222">
      <c r="G222" s="15"/>
    </row>
    <row r="223">
      <c r="G223" s="15"/>
    </row>
    <row r="224">
      <c r="G224" s="15"/>
    </row>
    <row r="225">
      <c r="G225" s="15"/>
    </row>
    <row r="226">
      <c r="G226" s="15"/>
    </row>
    <row r="227">
      <c r="G227" s="15"/>
    </row>
    <row r="228">
      <c r="G228" s="15"/>
    </row>
    <row r="229">
      <c r="G229" s="15"/>
    </row>
    <row r="230">
      <c r="G230" s="15"/>
    </row>
    <row r="231">
      <c r="G231" s="15"/>
    </row>
    <row r="232">
      <c r="G232" s="15"/>
    </row>
    <row r="233">
      <c r="G233" s="15"/>
    </row>
    <row r="234">
      <c r="G234" s="15"/>
    </row>
    <row r="235">
      <c r="G235" s="15"/>
    </row>
    <row r="236">
      <c r="G236" s="15"/>
    </row>
    <row r="237">
      <c r="G237" s="15"/>
    </row>
    <row r="238">
      <c r="G238" s="15"/>
    </row>
    <row r="239">
      <c r="G239" s="15"/>
    </row>
    <row r="240">
      <c r="G240" s="15"/>
    </row>
    <row r="241">
      <c r="G241" s="15"/>
    </row>
    <row r="242">
      <c r="G242" s="15"/>
    </row>
    <row r="243">
      <c r="G243" s="15"/>
    </row>
    <row r="244">
      <c r="G244" s="15"/>
    </row>
    <row r="245">
      <c r="G245" s="15"/>
    </row>
    <row r="246">
      <c r="G246" s="15"/>
    </row>
    <row r="247">
      <c r="G247" s="15"/>
    </row>
    <row r="248">
      <c r="G248" s="15"/>
    </row>
    <row r="249">
      <c r="G249" s="15"/>
    </row>
    <row r="250">
      <c r="G250" s="15"/>
    </row>
    <row r="251">
      <c r="G251" s="15"/>
    </row>
    <row r="252">
      <c r="G252" s="15"/>
    </row>
    <row r="253">
      <c r="G253" s="15"/>
    </row>
    <row r="254">
      <c r="G254" s="15"/>
    </row>
    <row r="255">
      <c r="G255" s="15"/>
    </row>
    <row r="256">
      <c r="G256" s="15"/>
    </row>
    <row r="257">
      <c r="G257" s="15"/>
    </row>
    <row r="258">
      <c r="G258" s="15"/>
    </row>
    <row r="259">
      <c r="G259" s="15"/>
    </row>
    <row r="260">
      <c r="G260" s="15"/>
    </row>
    <row r="261">
      <c r="G261" s="15"/>
    </row>
    <row r="262">
      <c r="G262" s="15"/>
    </row>
    <row r="263">
      <c r="G263" s="15"/>
    </row>
    <row r="264">
      <c r="G264" s="15"/>
    </row>
    <row r="265">
      <c r="G265" s="15"/>
    </row>
    <row r="266">
      <c r="G266" s="15"/>
    </row>
    <row r="267">
      <c r="G267" s="15"/>
    </row>
    <row r="268">
      <c r="G268" s="15"/>
    </row>
    <row r="269">
      <c r="G269" s="15"/>
    </row>
    <row r="270">
      <c r="G270" s="15"/>
    </row>
    <row r="271">
      <c r="G271" s="15"/>
    </row>
    <row r="272">
      <c r="G272" s="15"/>
    </row>
    <row r="273">
      <c r="G273" s="15"/>
    </row>
    <row r="274">
      <c r="G274" s="15"/>
    </row>
    <row r="275">
      <c r="G275" s="15"/>
    </row>
    <row r="276">
      <c r="G276" s="15"/>
    </row>
    <row r="277">
      <c r="G277" s="15"/>
    </row>
    <row r="278">
      <c r="G278" s="15"/>
    </row>
    <row r="279">
      <c r="G279" s="15"/>
    </row>
    <row r="280">
      <c r="G280" s="15"/>
    </row>
    <row r="281">
      <c r="G281" s="15"/>
    </row>
    <row r="282">
      <c r="G282" s="15"/>
    </row>
    <row r="283">
      <c r="G283" s="15"/>
    </row>
    <row r="284">
      <c r="G284" s="15"/>
    </row>
    <row r="285">
      <c r="G285" s="15"/>
    </row>
    <row r="286">
      <c r="G286" s="15"/>
    </row>
    <row r="287">
      <c r="G287" s="15"/>
    </row>
    <row r="288">
      <c r="G288" s="15"/>
    </row>
    <row r="289">
      <c r="G289" s="15"/>
    </row>
    <row r="290">
      <c r="G290" s="15"/>
    </row>
    <row r="291">
      <c r="G291" s="15"/>
    </row>
    <row r="292">
      <c r="G292" s="15"/>
    </row>
    <row r="293">
      <c r="G293" s="15"/>
    </row>
    <row r="294">
      <c r="G294" s="15"/>
    </row>
    <row r="295">
      <c r="G295" s="15"/>
    </row>
    <row r="296">
      <c r="G296" s="15"/>
    </row>
    <row r="297">
      <c r="G297" s="15"/>
    </row>
    <row r="298">
      <c r="G298" s="15"/>
    </row>
    <row r="299">
      <c r="G299" s="15"/>
    </row>
    <row r="300">
      <c r="G300" s="15"/>
    </row>
    <row r="301">
      <c r="G301" s="15"/>
    </row>
    <row r="302">
      <c r="G302" s="15"/>
    </row>
    <row r="303">
      <c r="G303" s="15"/>
    </row>
    <row r="304">
      <c r="G304" s="15"/>
    </row>
    <row r="305">
      <c r="G305" s="15"/>
    </row>
    <row r="306">
      <c r="G306" s="15"/>
    </row>
    <row r="307">
      <c r="G307" s="15"/>
    </row>
    <row r="308">
      <c r="G308" s="15"/>
    </row>
    <row r="309">
      <c r="G309" s="15"/>
    </row>
    <row r="310">
      <c r="G310" s="15"/>
    </row>
    <row r="311">
      <c r="G311" s="15"/>
    </row>
    <row r="312">
      <c r="G312" s="15"/>
    </row>
    <row r="313">
      <c r="G313" s="15"/>
    </row>
    <row r="314">
      <c r="G314" s="15"/>
    </row>
    <row r="315">
      <c r="G315" s="15"/>
    </row>
    <row r="316">
      <c r="G316" s="15"/>
    </row>
    <row r="317">
      <c r="G317" s="15"/>
    </row>
    <row r="318">
      <c r="G318" s="15"/>
    </row>
    <row r="319">
      <c r="G319" s="15"/>
    </row>
    <row r="320">
      <c r="G320" s="15"/>
    </row>
    <row r="321">
      <c r="G321" s="15"/>
    </row>
    <row r="322">
      <c r="G322" s="15"/>
    </row>
    <row r="323">
      <c r="G323" s="15"/>
    </row>
    <row r="324">
      <c r="G324" s="15"/>
    </row>
    <row r="325">
      <c r="G325" s="15"/>
    </row>
    <row r="326">
      <c r="G326" s="15"/>
    </row>
    <row r="327">
      <c r="G327" s="15"/>
    </row>
    <row r="328">
      <c r="G328" s="15"/>
    </row>
    <row r="329">
      <c r="G329" s="15"/>
    </row>
    <row r="330">
      <c r="G330" s="15"/>
    </row>
    <row r="331">
      <c r="G331" s="15"/>
    </row>
    <row r="332">
      <c r="G332" s="15"/>
    </row>
    <row r="333">
      <c r="G333" s="15"/>
    </row>
    <row r="334">
      <c r="G334" s="15"/>
    </row>
    <row r="335">
      <c r="G335" s="15"/>
    </row>
    <row r="336">
      <c r="G336" s="15"/>
    </row>
    <row r="337">
      <c r="G337" s="15"/>
    </row>
    <row r="338">
      <c r="G338" s="15"/>
    </row>
    <row r="339">
      <c r="G339" s="15"/>
    </row>
    <row r="340">
      <c r="G340" s="15"/>
    </row>
    <row r="341">
      <c r="G341" s="15"/>
    </row>
    <row r="342">
      <c r="G342" s="15"/>
    </row>
    <row r="343">
      <c r="G343" s="15"/>
    </row>
    <row r="344">
      <c r="G344" s="15"/>
    </row>
    <row r="345">
      <c r="G345" s="15"/>
    </row>
    <row r="346">
      <c r="G346" s="15"/>
    </row>
    <row r="347">
      <c r="G347" s="15"/>
    </row>
    <row r="348">
      <c r="G348" s="15"/>
    </row>
    <row r="349">
      <c r="G349" s="15"/>
    </row>
    <row r="350">
      <c r="G350" s="15"/>
    </row>
    <row r="351">
      <c r="G351" s="15"/>
    </row>
    <row r="352">
      <c r="G352" s="15"/>
    </row>
    <row r="353">
      <c r="G353" s="15"/>
    </row>
    <row r="354">
      <c r="G354" s="15"/>
    </row>
    <row r="355">
      <c r="G355" s="15"/>
    </row>
    <row r="356">
      <c r="G356" s="15"/>
    </row>
    <row r="357">
      <c r="G357" s="15"/>
    </row>
    <row r="358">
      <c r="G358" s="15"/>
    </row>
    <row r="359">
      <c r="G359" s="15"/>
    </row>
    <row r="360">
      <c r="G360" s="15"/>
    </row>
    <row r="361">
      <c r="G361" s="15"/>
    </row>
    <row r="362">
      <c r="G362" s="15"/>
    </row>
    <row r="363">
      <c r="G363" s="15"/>
    </row>
    <row r="364">
      <c r="G364" s="15"/>
    </row>
    <row r="365">
      <c r="G365" s="15"/>
    </row>
    <row r="366">
      <c r="G366" s="15"/>
    </row>
    <row r="367">
      <c r="G367" s="15"/>
    </row>
    <row r="368">
      <c r="G368" s="15"/>
    </row>
    <row r="369">
      <c r="G369" s="15"/>
    </row>
    <row r="370">
      <c r="G370" s="15"/>
    </row>
    <row r="371">
      <c r="G371" s="15"/>
    </row>
    <row r="372">
      <c r="G372" s="15"/>
    </row>
    <row r="373">
      <c r="G373" s="15"/>
    </row>
    <row r="374">
      <c r="G374" s="15"/>
    </row>
    <row r="375">
      <c r="G375" s="15"/>
    </row>
    <row r="376">
      <c r="G376" s="15"/>
    </row>
    <row r="377">
      <c r="G377" s="15"/>
    </row>
    <row r="378">
      <c r="G378" s="15"/>
    </row>
    <row r="379">
      <c r="G379" s="15"/>
    </row>
    <row r="380">
      <c r="G380" s="15"/>
    </row>
    <row r="381">
      <c r="G381" s="15"/>
    </row>
    <row r="382">
      <c r="G382" s="15"/>
    </row>
    <row r="383">
      <c r="G383" s="15"/>
    </row>
    <row r="384">
      <c r="G384" s="15"/>
    </row>
    <row r="385">
      <c r="G385" s="15"/>
    </row>
    <row r="386">
      <c r="G386" s="15"/>
    </row>
    <row r="387">
      <c r="G387" s="15"/>
    </row>
    <row r="388">
      <c r="G388" s="15"/>
    </row>
    <row r="389">
      <c r="G389" s="15"/>
    </row>
    <row r="390">
      <c r="G390" s="15"/>
    </row>
    <row r="391">
      <c r="G391" s="15"/>
    </row>
    <row r="392">
      <c r="G392" s="15"/>
    </row>
    <row r="393">
      <c r="G393" s="15"/>
    </row>
    <row r="394">
      <c r="G394" s="15"/>
    </row>
    <row r="395">
      <c r="G395" s="15"/>
    </row>
    <row r="396">
      <c r="G396" s="15"/>
    </row>
    <row r="397">
      <c r="G397" s="15"/>
    </row>
    <row r="398">
      <c r="G398" s="15"/>
    </row>
    <row r="399">
      <c r="G399" s="15"/>
    </row>
    <row r="400">
      <c r="G400" s="15"/>
    </row>
    <row r="401">
      <c r="G401" s="15"/>
    </row>
    <row r="402">
      <c r="G402" s="15"/>
    </row>
    <row r="403">
      <c r="G403" s="15"/>
    </row>
    <row r="404">
      <c r="G404" s="15"/>
    </row>
    <row r="405">
      <c r="G405" s="15"/>
    </row>
    <row r="406">
      <c r="G406" s="15"/>
    </row>
    <row r="407">
      <c r="G407" s="15"/>
    </row>
    <row r="408">
      <c r="G408" s="15"/>
    </row>
    <row r="409">
      <c r="G409" s="15"/>
    </row>
    <row r="410">
      <c r="G410" s="15"/>
    </row>
    <row r="411">
      <c r="G411" s="15"/>
    </row>
    <row r="412">
      <c r="G412" s="15"/>
    </row>
    <row r="413">
      <c r="G413" s="15"/>
    </row>
    <row r="414">
      <c r="G414" s="15"/>
    </row>
    <row r="415">
      <c r="G415" s="15"/>
    </row>
    <row r="416">
      <c r="G416" s="15"/>
    </row>
    <row r="417">
      <c r="G417" s="15"/>
    </row>
    <row r="418">
      <c r="G418" s="15"/>
    </row>
    <row r="419">
      <c r="G419" s="15"/>
    </row>
    <row r="420">
      <c r="G420" s="15"/>
    </row>
    <row r="421">
      <c r="G421" s="15"/>
    </row>
    <row r="422">
      <c r="G422" s="15"/>
    </row>
    <row r="423">
      <c r="G423" s="15"/>
    </row>
    <row r="424">
      <c r="G424" s="15"/>
    </row>
    <row r="425">
      <c r="G425" s="15"/>
    </row>
    <row r="426">
      <c r="G426" s="15"/>
    </row>
    <row r="427">
      <c r="G427" s="15"/>
    </row>
    <row r="428">
      <c r="G428" s="15"/>
    </row>
    <row r="429">
      <c r="G429" s="15"/>
    </row>
    <row r="430">
      <c r="G430" s="15"/>
    </row>
    <row r="431">
      <c r="G431" s="15"/>
    </row>
    <row r="432">
      <c r="G432" s="15"/>
    </row>
    <row r="433">
      <c r="G433" s="15"/>
    </row>
    <row r="434">
      <c r="G434" s="15"/>
    </row>
    <row r="435">
      <c r="G435" s="15"/>
    </row>
    <row r="436">
      <c r="G436" s="15"/>
    </row>
    <row r="437">
      <c r="G437" s="15"/>
    </row>
    <row r="438">
      <c r="G438" s="15"/>
    </row>
    <row r="439">
      <c r="G439" s="15"/>
    </row>
    <row r="440">
      <c r="G440" s="15"/>
    </row>
    <row r="441">
      <c r="G441" s="15"/>
    </row>
    <row r="442">
      <c r="G442" s="15"/>
    </row>
    <row r="443">
      <c r="G443" s="15"/>
    </row>
    <row r="444">
      <c r="G444" s="15"/>
    </row>
    <row r="445">
      <c r="G445" s="15"/>
    </row>
    <row r="446">
      <c r="G446" s="15"/>
    </row>
    <row r="447">
      <c r="G447" s="15"/>
    </row>
    <row r="448">
      <c r="G448" s="15"/>
    </row>
    <row r="449">
      <c r="G449" s="15"/>
    </row>
    <row r="450">
      <c r="G450" s="15"/>
    </row>
    <row r="451">
      <c r="G451" s="15"/>
    </row>
    <row r="452">
      <c r="G452" s="15"/>
    </row>
    <row r="453">
      <c r="G453" s="15"/>
    </row>
    <row r="454">
      <c r="G454" s="15"/>
    </row>
    <row r="455">
      <c r="G455" s="15"/>
    </row>
    <row r="456">
      <c r="G456" s="15"/>
    </row>
    <row r="457">
      <c r="G457" s="15"/>
    </row>
    <row r="458">
      <c r="G458" s="15"/>
    </row>
    <row r="459">
      <c r="G459" s="15"/>
    </row>
    <row r="460">
      <c r="G460" s="15"/>
    </row>
    <row r="461">
      <c r="G461" s="15"/>
    </row>
    <row r="462">
      <c r="G462" s="15"/>
    </row>
    <row r="463">
      <c r="G463" s="15"/>
    </row>
    <row r="464">
      <c r="G464" s="15"/>
    </row>
    <row r="465">
      <c r="G465" s="15"/>
    </row>
    <row r="466">
      <c r="G466" s="15"/>
    </row>
    <row r="467">
      <c r="G467" s="15"/>
    </row>
    <row r="468">
      <c r="G468" s="15"/>
    </row>
    <row r="469">
      <c r="G469" s="15"/>
    </row>
    <row r="470">
      <c r="G470" s="15"/>
    </row>
    <row r="471">
      <c r="G471" s="15"/>
    </row>
    <row r="472">
      <c r="G472" s="15"/>
    </row>
    <row r="473">
      <c r="G473" s="15"/>
    </row>
    <row r="474">
      <c r="G474" s="15"/>
    </row>
    <row r="475">
      <c r="G475" s="15"/>
    </row>
    <row r="476">
      <c r="G476" s="15"/>
    </row>
    <row r="477">
      <c r="G477" s="15"/>
    </row>
    <row r="478">
      <c r="G478" s="15"/>
    </row>
    <row r="479">
      <c r="G479" s="15"/>
    </row>
    <row r="480">
      <c r="G480" s="15"/>
    </row>
    <row r="481">
      <c r="G481" s="15"/>
    </row>
    <row r="482">
      <c r="G482" s="15"/>
    </row>
    <row r="483">
      <c r="G483" s="15"/>
    </row>
    <row r="484">
      <c r="G484" s="15"/>
    </row>
    <row r="485">
      <c r="G485" s="15"/>
    </row>
    <row r="486">
      <c r="G486" s="15"/>
    </row>
    <row r="487">
      <c r="G487" s="15"/>
    </row>
    <row r="488">
      <c r="G488" s="15"/>
    </row>
    <row r="489">
      <c r="G489" s="15"/>
    </row>
    <row r="490">
      <c r="G490" s="15"/>
    </row>
    <row r="491">
      <c r="G491" s="15"/>
    </row>
    <row r="492">
      <c r="G492" s="15"/>
    </row>
    <row r="493">
      <c r="G493" s="15"/>
    </row>
    <row r="494">
      <c r="G494" s="15"/>
    </row>
    <row r="495">
      <c r="G495" s="15"/>
    </row>
    <row r="496">
      <c r="G496" s="15"/>
    </row>
    <row r="497">
      <c r="G497" s="15"/>
    </row>
    <row r="498">
      <c r="G498" s="15"/>
    </row>
    <row r="499">
      <c r="G499" s="15"/>
    </row>
    <row r="500">
      <c r="G500" s="15"/>
    </row>
    <row r="501">
      <c r="G501" s="15"/>
    </row>
    <row r="502">
      <c r="G502" s="15"/>
    </row>
    <row r="503">
      <c r="G503" s="15"/>
    </row>
    <row r="504">
      <c r="G504" s="15"/>
    </row>
    <row r="505">
      <c r="G505" s="15"/>
    </row>
    <row r="506">
      <c r="G506" s="15"/>
    </row>
    <row r="507">
      <c r="G507" s="15"/>
    </row>
    <row r="508">
      <c r="G508" s="15"/>
    </row>
    <row r="509">
      <c r="G509" s="15"/>
    </row>
    <row r="510">
      <c r="G510" s="15"/>
    </row>
    <row r="511">
      <c r="G511" s="15"/>
    </row>
    <row r="512">
      <c r="G512" s="15"/>
    </row>
    <row r="513">
      <c r="G513" s="15"/>
    </row>
    <row r="514">
      <c r="G514" s="15"/>
    </row>
    <row r="515">
      <c r="G515" s="15"/>
    </row>
    <row r="516">
      <c r="G516" s="15"/>
    </row>
    <row r="517">
      <c r="G517" s="15"/>
    </row>
    <row r="518">
      <c r="G518" s="15"/>
    </row>
    <row r="519">
      <c r="G519" s="15"/>
    </row>
    <row r="520">
      <c r="G520" s="15"/>
    </row>
    <row r="521">
      <c r="G521" s="15"/>
    </row>
    <row r="522">
      <c r="G522" s="15"/>
    </row>
    <row r="523">
      <c r="G523" s="15"/>
    </row>
    <row r="524">
      <c r="G524" s="15"/>
    </row>
    <row r="525">
      <c r="G525" s="15"/>
    </row>
    <row r="526">
      <c r="G526" s="15"/>
    </row>
    <row r="527">
      <c r="G527" s="15"/>
    </row>
    <row r="528">
      <c r="G528" s="15"/>
    </row>
    <row r="529">
      <c r="G529" s="15"/>
    </row>
    <row r="530">
      <c r="G530" s="15"/>
    </row>
    <row r="531">
      <c r="G531" s="15"/>
    </row>
    <row r="532">
      <c r="G532" s="15"/>
    </row>
    <row r="533">
      <c r="G533" s="15"/>
    </row>
    <row r="534">
      <c r="G534" s="15"/>
    </row>
    <row r="535">
      <c r="G535" s="15"/>
    </row>
    <row r="536">
      <c r="G536" s="15"/>
    </row>
    <row r="537">
      <c r="G537" s="15"/>
    </row>
    <row r="538">
      <c r="G538" s="15"/>
    </row>
    <row r="539">
      <c r="G539" s="15"/>
    </row>
    <row r="540">
      <c r="G540" s="15"/>
    </row>
    <row r="541">
      <c r="G541" s="15"/>
    </row>
    <row r="542">
      <c r="G542" s="15"/>
    </row>
    <row r="543">
      <c r="G543" s="15"/>
    </row>
    <row r="544">
      <c r="G544" s="15"/>
    </row>
    <row r="545">
      <c r="G545" s="15"/>
    </row>
    <row r="546">
      <c r="G546" s="15"/>
    </row>
    <row r="547">
      <c r="G547" s="15"/>
    </row>
    <row r="548">
      <c r="G548" s="15"/>
    </row>
    <row r="549">
      <c r="G549" s="15"/>
    </row>
    <row r="550">
      <c r="G550" s="15"/>
    </row>
    <row r="551">
      <c r="G551" s="15"/>
    </row>
    <row r="552">
      <c r="G552" s="15"/>
    </row>
    <row r="553">
      <c r="G553" s="15"/>
    </row>
    <row r="554">
      <c r="G554" s="15"/>
    </row>
    <row r="555">
      <c r="G555" s="15"/>
    </row>
    <row r="556">
      <c r="G556" s="15"/>
    </row>
    <row r="557">
      <c r="G557" s="15"/>
    </row>
    <row r="558">
      <c r="G558" s="15"/>
    </row>
    <row r="559">
      <c r="G559" s="15"/>
    </row>
    <row r="560">
      <c r="G560" s="15"/>
    </row>
    <row r="561">
      <c r="G561" s="15"/>
    </row>
    <row r="562">
      <c r="G562" s="15"/>
    </row>
    <row r="563">
      <c r="G563" s="15"/>
    </row>
    <row r="564">
      <c r="G564" s="15"/>
    </row>
    <row r="565">
      <c r="G565" s="15"/>
    </row>
    <row r="566">
      <c r="G566" s="15"/>
    </row>
    <row r="567">
      <c r="G567" s="15"/>
    </row>
    <row r="568">
      <c r="G568" s="15"/>
    </row>
    <row r="569">
      <c r="G569" s="15"/>
    </row>
    <row r="570">
      <c r="G570" s="15"/>
    </row>
    <row r="571">
      <c r="G571" s="15"/>
    </row>
    <row r="572">
      <c r="G572" s="15"/>
    </row>
    <row r="573">
      <c r="G573" s="15"/>
    </row>
    <row r="574">
      <c r="G574" s="15"/>
    </row>
    <row r="575">
      <c r="G575" s="15"/>
    </row>
    <row r="576">
      <c r="G576" s="15"/>
    </row>
    <row r="577">
      <c r="G577" s="15"/>
    </row>
    <row r="578">
      <c r="G578" s="15"/>
    </row>
    <row r="579">
      <c r="G579" s="15"/>
    </row>
    <row r="580">
      <c r="G580" s="15"/>
    </row>
    <row r="581">
      <c r="G581" s="15"/>
    </row>
    <row r="582">
      <c r="G582" s="15"/>
    </row>
    <row r="583">
      <c r="G583" s="15"/>
    </row>
    <row r="584">
      <c r="G584" s="15"/>
    </row>
    <row r="585">
      <c r="G585" s="15"/>
    </row>
    <row r="586">
      <c r="G586" s="15"/>
    </row>
    <row r="587">
      <c r="G587" s="15"/>
    </row>
    <row r="588">
      <c r="G588" s="15"/>
    </row>
    <row r="589">
      <c r="G589" s="15"/>
    </row>
    <row r="590">
      <c r="G590" s="15"/>
    </row>
    <row r="591">
      <c r="G591" s="15"/>
    </row>
    <row r="592">
      <c r="G592" s="15"/>
    </row>
    <row r="593">
      <c r="G593" s="15"/>
    </row>
    <row r="594">
      <c r="G594" s="15"/>
    </row>
    <row r="595">
      <c r="G595" s="15"/>
    </row>
    <row r="596">
      <c r="G596" s="15"/>
    </row>
    <row r="597">
      <c r="G597" s="15"/>
    </row>
    <row r="598">
      <c r="G598" s="15"/>
    </row>
    <row r="599">
      <c r="G599" s="15"/>
    </row>
    <row r="600">
      <c r="G600" s="15"/>
    </row>
    <row r="601">
      <c r="G601" s="15"/>
    </row>
    <row r="602">
      <c r="G602" s="15"/>
    </row>
    <row r="603">
      <c r="G603" s="15"/>
    </row>
    <row r="604">
      <c r="G604" s="15"/>
    </row>
    <row r="605">
      <c r="G605" s="15"/>
    </row>
    <row r="606">
      <c r="G606" s="15"/>
    </row>
    <row r="607">
      <c r="G607" s="15"/>
    </row>
    <row r="608">
      <c r="G608" s="15"/>
    </row>
    <row r="609">
      <c r="G609" s="15"/>
    </row>
    <row r="610">
      <c r="G610" s="15"/>
    </row>
    <row r="611">
      <c r="G611" s="15"/>
    </row>
    <row r="612">
      <c r="G612" s="15"/>
    </row>
    <row r="613">
      <c r="G613" s="15"/>
    </row>
    <row r="614">
      <c r="G614" s="15"/>
    </row>
    <row r="615">
      <c r="G615" s="15"/>
    </row>
    <row r="616">
      <c r="G616" s="15"/>
    </row>
    <row r="617">
      <c r="G617" s="15"/>
    </row>
    <row r="618">
      <c r="G618" s="15"/>
    </row>
    <row r="619">
      <c r="G619" s="15"/>
    </row>
    <row r="620">
      <c r="G620" s="15"/>
    </row>
    <row r="621">
      <c r="G621" s="15"/>
    </row>
    <row r="622">
      <c r="G622" s="15"/>
    </row>
    <row r="623">
      <c r="G623" s="15"/>
    </row>
    <row r="624">
      <c r="G624" s="15"/>
    </row>
    <row r="625">
      <c r="G625" s="15"/>
    </row>
    <row r="626">
      <c r="G626" s="15"/>
    </row>
    <row r="627">
      <c r="G627" s="15"/>
    </row>
    <row r="628">
      <c r="G628" s="15"/>
    </row>
    <row r="629">
      <c r="G629" s="15"/>
    </row>
    <row r="630">
      <c r="G630" s="15"/>
    </row>
    <row r="631">
      <c r="G631" s="15"/>
    </row>
    <row r="632">
      <c r="G632" s="15"/>
    </row>
    <row r="633">
      <c r="G633" s="15"/>
    </row>
    <row r="634">
      <c r="G634" s="15"/>
    </row>
    <row r="635">
      <c r="G635" s="15"/>
    </row>
    <row r="636">
      <c r="G636" s="15"/>
    </row>
    <row r="637">
      <c r="G637" s="15"/>
    </row>
    <row r="638">
      <c r="G638" s="15"/>
    </row>
    <row r="639">
      <c r="G639" s="15"/>
    </row>
    <row r="640">
      <c r="G640" s="15"/>
    </row>
    <row r="641">
      <c r="G641" s="15"/>
    </row>
    <row r="642">
      <c r="G642" s="15"/>
    </row>
    <row r="643">
      <c r="G643" s="15"/>
    </row>
    <row r="644">
      <c r="G644" s="15"/>
    </row>
    <row r="645">
      <c r="G645" s="15"/>
    </row>
    <row r="646">
      <c r="G646" s="15"/>
    </row>
    <row r="647">
      <c r="G647" s="15"/>
    </row>
    <row r="648">
      <c r="G648" s="15"/>
    </row>
    <row r="649">
      <c r="G649" s="15"/>
    </row>
    <row r="650">
      <c r="G650" s="15"/>
    </row>
    <row r="651">
      <c r="G651" s="15"/>
    </row>
    <row r="652">
      <c r="G652" s="15"/>
    </row>
    <row r="653">
      <c r="G653" s="15"/>
    </row>
    <row r="654">
      <c r="G654" s="15"/>
    </row>
    <row r="655">
      <c r="G655" s="15"/>
    </row>
    <row r="656">
      <c r="G656" s="15"/>
    </row>
    <row r="657">
      <c r="G657" s="15"/>
    </row>
    <row r="658">
      <c r="G658" s="15"/>
    </row>
    <row r="659">
      <c r="G659" s="15"/>
    </row>
    <row r="660">
      <c r="G660" s="15"/>
    </row>
    <row r="661">
      <c r="G661" s="15"/>
    </row>
    <row r="662">
      <c r="G662" s="15"/>
    </row>
    <row r="663">
      <c r="G663" s="15"/>
    </row>
    <row r="664">
      <c r="G664" s="15"/>
    </row>
    <row r="665">
      <c r="G665" s="15"/>
    </row>
    <row r="666">
      <c r="G666" s="15"/>
    </row>
    <row r="667">
      <c r="G667" s="15"/>
    </row>
    <row r="668">
      <c r="G668" s="15"/>
    </row>
    <row r="669">
      <c r="G669" s="15"/>
    </row>
    <row r="670">
      <c r="G670" s="15"/>
    </row>
    <row r="671">
      <c r="G671" s="15"/>
    </row>
    <row r="672">
      <c r="G672" s="15"/>
    </row>
    <row r="673">
      <c r="G673" s="15"/>
    </row>
    <row r="674">
      <c r="G674" s="15"/>
    </row>
    <row r="675">
      <c r="G675" s="15"/>
    </row>
    <row r="676">
      <c r="G676" s="15"/>
    </row>
    <row r="677">
      <c r="G677" s="15"/>
    </row>
    <row r="678">
      <c r="G678" s="15"/>
    </row>
    <row r="679">
      <c r="G679" s="15"/>
    </row>
    <row r="680">
      <c r="G680" s="15"/>
    </row>
    <row r="681">
      <c r="G681" s="15"/>
    </row>
    <row r="682">
      <c r="G682" s="15"/>
    </row>
    <row r="683">
      <c r="G683" s="15"/>
    </row>
    <row r="684">
      <c r="G684" s="15"/>
    </row>
    <row r="685">
      <c r="G685" s="15"/>
    </row>
    <row r="686">
      <c r="G686" s="15"/>
    </row>
    <row r="687">
      <c r="G687" s="15"/>
    </row>
    <row r="688">
      <c r="G688" s="15"/>
    </row>
    <row r="689">
      <c r="G689" s="15"/>
    </row>
    <row r="690">
      <c r="G690" s="15"/>
    </row>
    <row r="691">
      <c r="G691" s="15"/>
    </row>
    <row r="692">
      <c r="G692" s="15"/>
    </row>
    <row r="693">
      <c r="G693" s="15"/>
    </row>
    <row r="694">
      <c r="G694" s="15"/>
    </row>
    <row r="695">
      <c r="G695" s="15"/>
    </row>
    <row r="696">
      <c r="G696" s="15"/>
    </row>
    <row r="697">
      <c r="G697" s="15"/>
    </row>
    <row r="698">
      <c r="G698" s="15"/>
    </row>
    <row r="699">
      <c r="G699" s="15"/>
    </row>
    <row r="700">
      <c r="G700" s="15"/>
    </row>
    <row r="701">
      <c r="G701" s="15"/>
    </row>
    <row r="702">
      <c r="G702" s="15"/>
    </row>
    <row r="703">
      <c r="G703" s="15"/>
    </row>
    <row r="704">
      <c r="G704" s="15"/>
    </row>
    <row r="705">
      <c r="G705" s="15"/>
    </row>
    <row r="706">
      <c r="G706" s="15"/>
    </row>
    <row r="707">
      <c r="G707" s="15"/>
    </row>
    <row r="708">
      <c r="G708" s="15"/>
    </row>
    <row r="709">
      <c r="G709" s="15"/>
    </row>
    <row r="710">
      <c r="G710" s="15"/>
    </row>
    <row r="711">
      <c r="G711" s="15"/>
    </row>
    <row r="712">
      <c r="G712" s="15"/>
    </row>
    <row r="713">
      <c r="G713" s="15"/>
    </row>
    <row r="714">
      <c r="G714" s="15"/>
    </row>
    <row r="715">
      <c r="G715" s="15"/>
    </row>
    <row r="716">
      <c r="G716" s="15"/>
    </row>
    <row r="717">
      <c r="G717" s="15"/>
    </row>
    <row r="718">
      <c r="G718" s="15"/>
    </row>
    <row r="719">
      <c r="G719" s="15"/>
    </row>
    <row r="720">
      <c r="G720" s="15"/>
    </row>
    <row r="721">
      <c r="G721" s="15"/>
    </row>
    <row r="722">
      <c r="G722" s="15"/>
    </row>
    <row r="723">
      <c r="G723" s="15"/>
    </row>
    <row r="724">
      <c r="G724" s="15"/>
    </row>
    <row r="725">
      <c r="G725" s="15"/>
    </row>
    <row r="726">
      <c r="G726" s="15"/>
    </row>
    <row r="727">
      <c r="G727" s="15"/>
    </row>
    <row r="728">
      <c r="G728" s="15"/>
    </row>
    <row r="729">
      <c r="G729" s="15"/>
    </row>
    <row r="730">
      <c r="G730" s="15"/>
    </row>
    <row r="731">
      <c r="G731" s="15"/>
    </row>
    <row r="732">
      <c r="G732" s="15"/>
    </row>
    <row r="733">
      <c r="G733" s="15"/>
    </row>
    <row r="734">
      <c r="G734" s="15"/>
    </row>
    <row r="735">
      <c r="G735" s="15"/>
    </row>
    <row r="736">
      <c r="G736" s="15"/>
    </row>
    <row r="737">
      <c r="G737" s="15"/>
    </row>
    <row r="738">
      <c r="G738" s="15"/>
    </row>
    <row r="739">
      <c r="G739" s="15"/>
    </row>
    <row r="740">
      <c r="G740" s="15"/>
    </row>
    <row r="741">
      <c r="G741" s="15"/>
    </row>
    <row r="742">
      <c r="G742" s="15"/>
    </row>
    <row r="743">
      <c r="G743" s="15"/>
    </row>
    <row r="744">
      <c r="G744" s="15"/>
    </row>
    <row r="745">
      <c r="G745" s="15"/>
    </row>
    <row r="746">
      <c r="G746" s="15"/>
    </row>
    <row r="747">
      <c r="G747" s="15"/>
    </row>
    <row r="748">
      <c r="G748" s="15"/>
    </row>
    <row r="749">
      <c r="G749" s="15"/>
    </row>
    <row r="750">
      <c r="G750" s="15"/>
    </row>
    <row r="751">
      <c r="G751" s="15"/>
    </row>
    <row r="752">
      <c r="G752" s="15"/>
    </row>
    <row r="753">
      <c r="G753" s="15"/>
    </row>
    <row r="754">
      <c r="G754" s="15"/>
    </row>
    <row r="755">
      <c r="G755" s="15"/>
    </row>
    <row r="756">
      <c r="G756" s="15"/>
    </row>
    <row r="757">
      <c r="G757" s="15"/>
    </row>
    <row r="758">
      <c r="G758" s="15"/>
    </row>
    <row r="759">
      <c r="G759" s="15"/>
    </row>
    <row r="760">
      <c r="G760" s="15"/>
    </row>
    <row r="761">
      <c r="G761" s="15"/>
    </row>
    <row r="762">
      <c r="G762" s="15"/>
    </row>
    <row r="763">
      <c r="G763" s="15"/>
    </row>
    <row r="764">
      <c r="G764" s="15"/>
    </row>
    <row r="765">
      <c r="G765" s="15"/>
    </row>
    <row r="766">
      <c r="G766" s="15"/>
    </row>
    <row r="767">
      <c r="G767" s="15"/>
    </row>
    <row r="768">
      <c r="G768" s="15"/>
    </row>
    <row r="769">
      <c r="G769" s="15"/>
    </row>
    <row r="770">
      <c r="G770" s="15"/>
    </row>
    <row r="771">
      <c r="G771" s="15"/>
    </row>
    <row r="772">
      <c r="G772" s="15"/>
    </row>
    <row r="773">
      <c r="G773" s="15"/>
    </row>
    <row r="774">
      <c r="G774" s="15"/>
    </row>
    <row r="775">
      <c r="G775" s="15"/>
    </row>
    <row r="776">
      <c r="G776" s="15"/>
    </row>
    <row r="777">
      <c r="G777" s="15"/>
    </row>
    <row r="778">
      <c r="G778" s="15"/>
    </row>
    <row r="779">
      <c r="G779" s="15"/>
    </row>
    <row r="780">
      <c r="G780" s="15"/>
    </row>
    <row r="781">
      <c r="G781" s="15"/>
    </row>
    <row r="782">
      <c r="G782" s="15"/>
    </row>
    <row r="783">
      <c r="G783" s="15"/>
    </row>
    <row r="784">
      <c r="G784" s="15"/>
    </row>
    <row r="785">
      <c r="G785" s="15"/>
    </row>
    <row r="786">
      <c r="G786" s="15"/>
    </row>
    <row r="787">
      <c r="G787" s="15"/>
    </row>
    <row r="788">
      <c r="G788" s="15"/>
    </row>
    <row r="789">
      <c r="G789" s="15"/>
    </row>
    <row r="790">
      <c r="G790" s="15"/>
    </row>
    <row r="791">
      <c r="G791" s="15"/>
    </row>
    <row r="792">
      <c r="G792" s="15"/>
    </row>
    <row r="793">
      <c r="G793" s="15"/>
    </row>
    <row r="794">
      <c r="G794" s="15"/>
    </row>
    <row r="795">
      <c r="G795" s="15"/>
    </row>
    <row r="796">
      <c r="G796" s="15"/>
    </row>
    <row r="797">
      <c r="G797" s="15"/>
    </row>
    <row r="798">
      <c r="G798" s="15"/>
    </row>
    <row r="799">
      <c r="G799" s="15"/>
    </row>
    <row r="800">
      <c r="G800" s="15"/>
    </row>
    <row r="801">
      <c r="G801" s="15"/>
    </row>
    <row r="802">
      <c r="G802" s="15"/>
    </row>
    <row r="803">
      <c r="G803" s="15"/>
    </row>
    <row r="804">
      <c r="G804" s="15"/>
    </row>
    <row r="805">
      <c r="G805" s="15"/>
    </row>
    <row r="806">
      <c r="G806" s="15"/>
    </row>
    <row r="807">
      <c r="G807" s="15"/>
    </row>
    <row r="808">
      <c r="G808" s="15"/>
    </row>
    <row r="809">
      <c r="G809" s="15"/>
    </row>
    <row r="810">
      <c r="G810" s="15"/>
    </row>
    <row r="811">
      <c r="G811" s="15"/>
    </row>
    <row r="812">
      <c r="G812" s="15"/>
    </row>
    <row r="813">
      <c r="G813" s="15"/>
    </row>
    <row r="814">
      <c r="G814" s="15"/>
    </row>
    <row r="815">
      <c r="G815" s="15"/>
    </row>
    <row r="816">
      <c r="G816" s="15"/>
    </row>
    <row r="817">
      <c r="G817" s="15"/>
    </row>
    <row r="818">
      <c r="G818" s="15"/>
    </row>
    <row r="819">
      <c r="G819" s="15"/>
    </row>
    <row r="820">
      <c r="G820" s="15"/>
    </row>
    <row r="821">
      <c r="G821" s="15"/>
    </row>
    <row r="822">
      <c r="G822" s="15"/>
    </row>
    <row r="823">
      <c r="G823" s="15"/>
    </row>
    <row r="824">
      <c r="G824" s="15"/>
    </row>
    <row r="825">
      <c r="G825" s="15"/>
    </row>
    <row r="826">
      <c r="G826" s="15"/>
    </row>
    <row r="827">
      <c r="G827" s="15"/>
    </row>
    <row r="828">
      <c r="G828" s="15"/>
    </row>
    <row r="829">
      <c r="G829" s="15"/>
    </row>
    <row r="830">
      <c r="G830" s="15"/>
    </row>
    <row r="831">
      <c r="G831" s="15"/>
    </row>
    <row r="832">
      <c r="G832" s="15"/>
    </row>
    <row r="833">
      <c r="G833" s="15"/>
    </row>
    <row r="834">
      <c r="G834" s="15"/>
    </row>
    <row r="835">
      <c r="G835" s="15"/>
    </row>
    <row r="836">
      <c r="G836" s="15"/>
    </row>
    <row r="837">
      <c r="G837" s="15"/>
    </row>
    <row r="838">
      <c r="G838" s="15"/>
    </row>
    <row r="839">
      <c r="G839" s="15"/>
    </row>
    <row r="840">
      <c r="G840" s="15"/>
    </row>
    <row r="841">
      <c r="G841" s="15"/>
    </row>
    <row r="842">
      <c r="G842" s="15"/>
    </row>
    <row r="843">
      <c r="G843" s="15"/>
    </row>
    <row r="844">
      <c r="G844" s="15"/>
    </row>
    <row r="845">
      <c r="G845" s="15"/>
    </row>
    <row r="846">
      <c r="G846" s="15"/>
    </row>
    <row r="847">
      <c r="G847" s="15"/>
    </row>
    <row r="848">
      <c r="G848" s="15"/>
    </row>
    <row r="849">
      <c r="G849" s="15"/>
    </row>
    <row r="850">
      <c r="G850" s="15"/>
    </row>
    <row r="851">
      <c r="G851" s="15"/>
    </row>
    <row r="852">
      <c r="G852" s="15"/>
    </row>
    <row r="853">
      <c r="G853" s="15"/>
    </row>
    <row r="854">
      <c r="G854" s="15"/>
    </row>
    <row r="855">
      <c r="G855" s="15"/>
    </row>
    <row r="856">
      <c r="G856" s="15"/>
    </row>
    <row r="857">
      <c r="G857" s="15"/>
    </row>
    <row r="858">
      <c r="G858" s="15"/>
    </row>
    <row r="859">
      <c r="G859" s="15"/>
    </row>
    <row r="860">
      <c r="G860" s="15"/>
    </row>
    <row r="861">
      <c r="G861" s="15"/>
    </row>
    <row r="862">
      <c r="G862" s="15"/>
    </row>
    <row r="863">
      <c r="G863" s="15"/>
    </row>
    <row r="864">
      <c r="G864" s="15"/>
    </row>
    <row r="865">
      <c r="G865" s="15"/>
    </row>
    <row r="866">
      <c r="G866" s="15"/>
    </row>
    <row r="867">
      <c r="G867" s="15"/>
    </row>
    <row r="868">
      <c r="G868" s="15"/>
    </row>
    <row r="869">
      <c r="G869" s="15"/>
    </row>
    <row r="870">
      <c r="G870" s="15"/>
    </row>
    <row r="871">
      <c r="G871" s="15"/>
    </row>
    <row r="872">
      <c r="G872" s="15"/>
    </row>
    <row r="873">
      <c r="G873" s="15"/>
    </row>
    <row r="874">
      <c r="G874" s="15"/>
    </row>
    <row r="875">
      <c r="G875" s="15"/>
    </row>
    <row r="876">
      <c r="G876" s="15"/>
    </row>
    <row r="877">
      <c r="G877" s="15"/>
    </row>
    <row r="878">
      <c r="G878" s="15"/>
    </row>
    <row r="879">
      <c r="G879" s="15"/>
    </row>
    <row r="880">
      <c r="G880" s="15"/>
    </row>
    <row r="881">
      <c r="G881" s="15"/>
    </row>
    <row r="882">
      <c r="G882" s="15"/>
    </row>
    <row r="883">
      <c r="G883" s="15"/>
    </row>
    <row r="884">
      <c r="G884" s="15"/>
    </row>
    <row r="885">
      <c r="G885" s="15"/>
    </row>
    <row r="886">
      <c r="G886" s="15"/>
    </row>
    <row r="887">
      <c r="G887" s="15"/>
    </row>
    <row r="888">
      <c r="G888" s="15"/>
    </row>
    <row r="889">
      <c r="G889" s="15"/>
    </row>
    <row r="890">
      <c r="G890" s="15"/>
    </row>
    <row r="891">
      <c r="G891" s="15"/>
    </row>
    <row r="892">
      <c r="G892" s="15"/>
    </row>
    <row r="893">
      <c r="G893" s="15"/>
    </row>
    <row r="894">
      <c r="G894" s="15"/>
    </row>
    <row r="895">
      <c r="G895" s="15"/>
    </row>
    <row r="896">
      <c r="G896" s="15"/>
    </row>
    <row r="897">
      <c r="G897" s="15"/>
    </row>
    <row r="898">
      <c r="G898" s="15"/>
    </row>
    <row r="899">
      <c r="G899" s="15"/>
    </row>
    <row r="900">
      <c r="G900" s="15"/>
    </row>
    <row r="901">
      <c r="G901" s="15"/>
    </row>
    <row r="902">
      <c r="G902" s="15"/>
    </row>
    <row r="903">
      <c r="G903" s="15"/>
    </row>
    <row r="904">
      <c r="G904" s="15"/>
    </row>
    <row r="905">
      <c r="G905" s="15"/>
    </row>
    <row r="906">
      <c r="G906" s="15"/>
    </row>
    <row r="907">
      <c r="G907" s="15"/>
    </row>
    <row r="908">
      <c r="G908" s="15"/>
    </row>
    <row r="909">
      <c r="G909" s="15"/>
    </row>
    <row r="910">
      <c r="G910" s="15"/>
    </row>
    <row r="911">
      <c r="G911" s="15"/>
    </row>
    <row r="912">
      <c r="G912" s="15"/>
    </row>
    <row r="913">
      <c r="G913" s="15"/>
    </row>
    <row r="914">
      <c r="G914" s="15"/>
    </row>
    <row r="915">
      <c r="G915" s="15"/>
    </row>
    <row r="916">
      <c r="G916" s="15"/>
    </row>
    <row r="917">
      <c r="G917" s="15"/>
    </row>
    <row r="918">
      <c r="G918" s="15"/>
    </row>
    <row r="919">
      <c r="G919" s="15"/>
    </row>
    <row r="920">
      <c r="G920" s="15"/>
    </row>
    <row r="921">
      <c r="G921" s="15"/>
    </row>
    <row r="922">
      <c r="G922" s="15"/>
    </row>
    <row r="923">
      <c r="G923" s="15"/>
    </row>
    <row r="924">
      <c r="G924" s="15"/>
    </row>
    <row r="925">
      <c r="G925" s="15"/>
    </row>
    <row r="926">
      <c r="G926" s="15"/>
    </row>
    <row r="927">
      <c r="G927" s="15"/>
    </row>
    <row r="928">
      <c r="G928" s="15"/>
    </row>
    <row r="929">
      <c r="G929" s="15"/>
    </row>
    <row r="930">
      <c r="G930" s="15"/>
    </row>
    <row r="931">
      <c r="G931" s="15"/>
    </row>
    <row r="932">
      <c r="G932" s="15"/>
    </row>
    <row r="933">
      <c r="G933" s="15"/>
    </row>
    <row r="934">
      <c r="G934" s="15"/>
    </row>
    <row r="935">
      <c r="G935" s="15"/>
    </row>
    <row r="936">
      <c r="G936" s="15"/>
    </row>
    <row r="937">
      <c r="G937" s="15"/>
    </row>
    <row r="938">
      <c r="G938" s="15"/>
    </row>
    <row r="939">
      <c r="G939" s="15"/>
    </row>
    <row r="940">
      <c r="G940" s="15"/>
    </row>
    <row r="941">
      <c r="G941" s="15"/>
    </row>
    <row r="942">
      <c r="G942" s="15"/>
    </row>
    <row r="943">
      <c r="G943" s="15"/>
    </row>
    <row r="944">
      <c r="G944" s="15"/>
    </row>
    <row r="945">
      <c r="G945" s="15"/>
    </row>
    <row r="946">
      <c r="G946" s="15"/>
    </row>
    <row r="947">
      <c r="G947" s="15"/>
    </row>
    <row r="948">
      <c r="G948" s="15"/>
    </row>
    <row r="949">
      <c r="G949" s="15"/>
    </row>
    <row r="950">
      <c r="G950" s="15"/>
    </row>
    <row r="951">
      <c r="G951" s="15"/>
    </row>
    <row r="952">
      <c r="G952" s="15"/>
    </row>
    <row r="953">
      <c r="G953" s="15"/>
    </row>
    <row r="954">
      <c r="G954" s="15"/>
    </row>
    <row r="955">
      <c r="G955" s="15"/>
    </row>
    <row r="956">
      <c r="G956" s="15"/>
    </row>
    <row r="957">
      <c r="G957" s="15"/>
    </row>
    <row r="958">
      <c r="G958" s="15"/>
    </row>
    <row r="959">
      <c r="G959" s="15"/>
    </row>
    <row r="960">
      <c r="G960" s="15"/>
    </row>
    <row r="961">
      <c r="G961" s="15"/>
    </row>
    <row r="962">
      <c r="G962" s="15"/>
    </row>
    <row r="963">
      <c r="G963" s="15"/>
    </row>
    <row r="964">
      <c r="G964" s="15"/>
    </row>
    <row r="965">
      <c r="G965" s="15"/>
    </row>
    <row r="966">
      <c r="G966" s="15"/>
    </row>
    <row r="967">
      <c r="G967" s="15"/>
    </row>
    <row r="968">
      <c r="G968" s="15"/>
    </row>
    <row r="969">
      <c r="G969" s="15"/>
    </row>
    <row r="970">
      <c r="G970" s="15"/>
    </row>
    <row r="971">
      <c r="G971" s="15"/>
    </row>
    <row r="972">
      <c r="G972" s="15"/>
    </row>
    <row r="973">
      <c r="G973" s="15"/>
    </row>
    <row r="974">
      <c r="G974" s="15"/>
    </row>
    <row r="975">
      <c r="G975" s="15"/>
    </row>
    <row r="976">
      <c r="G976" s="15"/>
    </row>
    <row r="977">
      <c r="G977" s="15"/>
    </row>
    <row r="978">
      <c r="G978" s="15"/>
    </row>
    <row r="979">
      <c r="G979" s="15"/>
    </row>
    <row r="980">
      <c r="G980" s="15"/>
    </row>
    <row r="981">
      <c r="G981" s="15"/>
    </row>
    <row r="982">
      <c r="G982" s="15"/>
    </row>
    <row r="983">
      <c r="G983" s="15"/>
    </row>
    <row r="984">
      <c r="G984" s="15"/>
    </row>
    <row r="985">
      <c r="G985" s="15"/>
    </row>
    <row r="986">
      <c r="G986" s="15"/>
    </row>
    <row r="987">
      <c r="G987" s="15"/>
    </row>
    <row r="988">
      <c r="G988" s="15"/>
    </row>
    <row r="989">
      <c r="G989" s="15"/>
    </row>
    <row r="990">
      <c r="G990" s="15"/>
    </row>
    <row r="991">
      <c r="G991" s="15"/>
    </row>
    <row r="992">
      <c r="G992" s="15"/>
    </row>
    <row r="993">
      <c r="G993" s="15"/>
    </row>
    <row r="994">
      <c r="G994" s="15"/>
    </row>
    <row r="995">
      <c r="G995" s="15"/>
    </row>
    <row r="996">
      <c r="G996" s="15"/>
    </row>
    <row r="997">
      <c r="G997" s="15"/>
    </row>
    <row r="998">
      <c r="G998" s="15"/>
    </row>
    <row r="999">
      <c r="G999" s="15"/>
    </row>
    <row r="1000">
      <c r="G1000" s="15"/>
    </row>
  </sheetData>
  <hyperlinks>
    <hyperlink r:id="rId1" ref="B1"/>
    <hyperlink r:id="rId2" ref="C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2" t="s">
        <v>30</v>
      </c>
      <c r="C1" s="33" t="s">
        <v>31</v>
      </c>
      <c r="E1" s="34" t="s">
        <v>32</v>
      </c>
      <c r="F1" s="34" t="s">
        <v>33</v>
      </c>
    </row>
    <row r="2">
      <c r="A2" s="3">
        <v>46055.0</v>
      </c>
      <c r="B2" s="4">
        <v>244.22</v>
      </c>
      <c r="C2" s="23">
        <v>6932.3</v>
      </c>
      <c r="E2" s="35">
        <f t="shared" ref="E2:F2" si="1">B2/B3-1</f>
        <v>0.07652296571</v>
      </c>
      <c r="F2" s="35">
        <f t="shared" si="1"/>
        <v>-0.0009698761931</v>
      </c>
    </row>
    <row r="3">
      <c r="A3" s="3">
        <v>46048.0</v>
      </c>
      <c r="B3" s="4">
        <v>226.86</v>
      </c>
      <c r="C3" s="23">
        <v>6939.03</v>
      </c>
      <c r="E3" s="35">
        <f t="shared" ref="E3:F3" si="2">B3/B4-1</f>
        <v>0.00256319604</v>
      </c>
      <c r="F3" s="35">
        <f t="shared" si="2"/>
        <v>0.003386541462</v>
      </c>
    </row>
    <row r="4">
      <c r="A4" s="3">
        <v>46041.0</v>
      </c>
      <c r="B4" s="4">
        <v>226.28</v>
      </c>
      <c r="C4" s="23">
        <v>6915.61</v>
      </c>
      <c r="E4" s="35">
        <f t="shared" ref="E4:F4" si="3">B4/B5-1</f>
        <v>-0.02221069916</v>
      </c>
      <c r="F4" s="35">
        <f t="shared" si="3"/>
        <v>-0.003515845078</v>
      </c>
      <c r="I4" s="36" t="s">
        <v>34</v>
      </c>
      <c r="K4" s="37"/>
      <c r="L4" s="37"/>
      <c r="M4" s="37"/>
      <c r="N4" s="37"/>
      <c r="O4" s="37"/>
      <c r="P4" s="37"/>
      <c r="Q4" s="37"/>
      <c r="R4" s="37"/>
      <c r="S4" s="37"/>
      <c r="T4" s="37"/>
    </row>
    <row r="5">
      <c r="A5" s="3">
        <v>46034.0</v>
      </c>
      <c r="B5" s="4">
        <v>231.42</v>
      </c>
      <c r="C5" s="23">
        <v>6940.01</v>
      </c>
      <c r="E5" s="35">
        <f t="shared" ref="E5:F5" si="4">B5/B6-1</f>
        <v>0.04469122427</v>
      </c>
      <c r="F5" s="35">
        <f t="shared" si="4"/>
        <v>-0.003771022698</v>
      </c>
      <c r="I5" s="37"/>
      <c r="J5" s="37"/>
      <c r="K5" s="37"/>
      <c r="L5" s="37"/>
      <c r="M5" s="37"/>
      <c r="N5" s="37"/>
      <c r="O5" s="37"/>
      <c r="P5" s="37"/>
      <c r="Q5" s="37"/>
      <c r="R5" s="37"/>
      <c r="S5" s="37"/>
      <c r="T5" s="37"/>
    </row>
    <row r="6">
      <c r="A6" s="3">
        <v>46027.0</v>
      </c>
      <c r="B6" s="4">
        <v>221.52</v>
      </c>
      <c r="C6" s="23">
        <v>6966.28</v>
      </c>
      <c r="E6" s="35">
        <f t="shared" ref="E6:F6" si="5">B6/B7-1</f>
        <v>0.01675310965</v>
      </c>
      <c r="F6" s="35">
        <f t="shared" si="5"/>
        <v>0.01571924934</v>
      </c>
      <c r="I6" s="38" t="s">
        <v>35</v>
      </c>
      <c r="J6" s="39"/>
      <c r="K6" s="37"/>
      <c r="L6" s="37"/>
      <c r="M6" s="37"/>
      <c r="N6" s="37"/>
      <c r="O6" s="37"/>
      <c r="P6" s="37"/>
      <c r="Q6" s="37"/>
      <c r="R6" s="37"/>
      <c r="S6" s="37"/>
      <c r="T6" s="37"/>
    </row>
    <row r="7">
      <c r="A7" s="3">
        <v>46020.0</v>
      </c>
      <c r="B7" s="4">
        <v>217.87</v>
      </c>
      <c r="C7" s="23">
        <v>6858.47</v>
      </c>
      <c r="E7" s="35">
        <f t="shared" ref="E7:F7" si="6">B7/B8-1</f>
        <v>0.00577047364</v>
      </c>
      <c r="F7" s="35">
        <f t="shared" si="6"/>
        <v>-0.01031322061</v>
      </c>
      <c r="I7" s="36" t="s">
        <v>36</v>
      </c>
      <c r="J7" s="40">
        <v>0.525207</v>
      </c>
      <c r="K7" s="37"/>
      <c r="L7" s="37"/>
      <c r="M7" s="37"/>
      <c r="N7" s="37"/>
      <c r="O7" s="37"/>
      <c r="P7" s="37"/>
      <c r="Q7" s="37"/>
      <c r="R7" s="37"/>
      <c r="S7" s="37"/>
      <c r="T7" s="37"/>
    </row>
    <row r="8">
      <c r="A8" s="3">
        <v>46013.0</v>
      </c>
      <c r="B8" s="4">
        <v>216.62</v>
      </c>
      <c r="C8" s="23">
        <v>6929.94</v>
      </c>
      <c r="E8" s="35">
        <f t="shared" ref="E8:F8" si="7">B8/B9-1</f>
        <v>-0.01258090984</v>
      </c>
      <c r="F8" s="35">
        <f t="shared" si="7"/>
        <v>0.01396444509</v>
      </c>
      <c r="I8" s="36" t="s">
        <v>37</v>
      </c>
      <c r="J8" s="40">
        <v>0.275843</v>
      </c>
      <c r="K8" s="37"/>
      <c r="L8" s="37"/>
      <c r="M8" s="37"/>
      <c r="N8" s="37"/>
      <c r="O8" s="37"/>
      <c r="P8" s="37"/>
      <c r="Q8" s="37"/>
      <c r="R8" s="37"/>
      <c r="S8" s="37"/>
      <c r="T8" s="37"/>
    </row>
    <row r="9">
      <c r="A9" s="3">
        <v>46006.0</v>
      </c>
      <c r="B9" s="4">
        <v>219.38</v>
      </c>
      <c r="C9" s="23">
        <v>6834.5</v>
      </c>
      <c r="E9" s="35">
        <f t="shared" ref="E9:F9" si="8">B9/B10-1</f>
        <v>0.05410340188</v>
      </c>
      <c r="F9" s="35">
        <f t="shared" si="8"/>
        <v>0.001038461144</v>
      </c>
      <c r="I9" s="36" t="s">
        <v>38</v>
      </c>
      <c r="J9" s="40">
        <v>0.261064</v>
      </c>
      <c r="K9" s="37"/>
      <c r="L9" s="37"/>
      <c r="M9" s="37"/>
      <c r="N9" s="37"/>
      <c r="O9" s="37"/>
      <c r="P9" s="37"/>
      <c r="Q9" s="37"/>
      <c r="R9" s="37"/>
      <c r="S9" s="37"/>
      <c r="T9" s="37"/>
    </row>
    <row r="10">
      <c r="A10" s="3">
        <v>45999.0</v>
      </c>
      <c r="B10" s="4">
        <v>208.12</v>
      </c>
      <c r="C10" s="23">
        <v>6827.41</v>
      </c>
      <c r="E10" s="35">
        <f t="shared" ref="E10:F10" si="9">B10/B11-1</f>
        <v>0.05881155881</v>
      </c>
      <c r="F10" s="35">
        <f t="shared" si="9"/>
        <v>-0.006257277597</v>
      </c>
      <c r="I10" s="36" t="s">
        <v>39</v>
      </c>
      <c r="J10" s="40">
        <v>0.036781</v>
      </c>
      <c r="K10" s="37"/>
      <c r="L10" s="37"/>
      <c r="M10" s="37"/>
      <c r="N10" s="37"/>
      <c r="O10" s="37"/>
      <c r="P10" s="37"/>
      <c r="Q10" s="37"/>
      <c r="R10" s="37"/>
      <c r="S10" s="37"/>
      <c r="T10" s="37"/>
    </row>
    <row r="11">
      <c r="A11" s="3">
        <v>45992.0</v>
      </c>
      <c r="B11" s="4">
        <v>196.56</v>
      </c>
      <c r="C11" s="23">
        <v>6870.4</v>
      </c>
      <c r="E11" s="35">
        <f t="shared" ref="E11:F11" si="10">B11/B12-1</f>
        <v>-0.02630405707</v>
      </c>
      <c r="F11" s="35">
        <f t="shared" si="10"/>
        <v>0.003111362239</v>
      </c>
      <c r="I11" s="41" t="s">
        <v>40</v>
      </c>
      <c r="J11" s="42">
        <v>51.0</v>
      </c>
      <c r="K11" s="37"/>
      <c r="L11" s="37"/>
      <c r="M11" s="37"/>
      <c r="N11" s="37"/>
      <c r="O11" s="37"/>
      <c r="P11" s="37"/>
      <c r="Q11" s="37"/>
      <c r="R11" s="37"/>
      <c r="S11" s="37"/>
      <c r="T11" s="37"/>
    </row>
    <row r="12">
      <c r="A12" s="3">
        <v>45985.0</v>
      </c>
      <c r="B12" s="4">
        <v>201.87</v>
      </c>
      <c r="C12" s="23">
        <v>6849.09</v>
      </c>
      <c r="E12" s="35">
        <f t="shared" ref="E12:F12" si="11">B12/B13-1</f>
        <v>0.02150592045</v>
      </c>
      <c r="F12" s="35">
        <f t="shared" si="11"/>
        <v>0.0372709939</v>
      </c>
      <c r="I12" s="37"/>
      <c r="J12" s="37"/>
      <c r="K12" s="37"/>
      <c r="L12" s="37"/>
      <c r="M12" s="37"/>
      <c r="N12" s="37"/>
      <c r="O12" s="37"/>
      <c r="P12" s="37"/>
      <c r="Q12" s="37"/>
      <c r="R12" s="37"/>
      <c r="S12" s="37"/>
      <c r="T12" s="37"/>
    </row>
    <row r="13">
      <c r="A13" s="3">
        <v>45978.0</v>
      </c>
      <c r="B13" s="4">
        <v>197.62</v>
      </c>
      <c r="C13" s="23">
        <v>6602.99</v>
      </c>
      <c r="E13" s="35">
        <f t="shared" ref="E13:F13" si="12">B13/B14-1</f>
        <v>-0.03165425323</v>
      </c>
      <c r="F13" s="35">
        <f t="shared" si="12"/>
        <v>-0.01947102141</v>
      </c>
      <c r="I13" s="36" t="s">
        <v>41</v>
      </c>
      <c r="J13" s="37"/>
      <c r="K13" s="37"/>
      <c r="L13" s="37"/>
      <c r="M13" s="37"/>
      <c r="N13" s="37"/>
      <c r="O13" s="37"/>
      <c r="P13" s="37"/>
      <c r="Q13" s="37"/>
      <c r="R13" s="37"/>
      <c r="S13" s="37"/>
      <c r="T13" s="37"/>
    </row>
    <row r="14">
      <c r="A14" s="3">
        <v>45971.0</v>
      </c>
      <c r="B14" s="4">
        <v>204.08</v>
      </c>
      <c r="C14" s="23">
        <v>6734.11</v>
      </c>
      <c r="E14" s="35">
        <f t="shared" ref="E14:F14" si="13">B14/B15-1</f>
        <v>0.01039706902</v>
      </c>
      <c r="F14" s="35">
        <f t="shared" si="13"/>
        <v>0.000789145167</v>
      </c>
      <c r="I14" s="43"/>
      <c r="J14" s="38" t="s">
        <v>42</v>
      </c>
      <c r="K14" s="38" t="s">
        <v>43</v>
      </c>
      <c r="L14" s="38" t="s">
        <v>44</v>
      </c>
      <c r="M14" s="38" t="s">
        <v>45</v>
      </c>
      <c r="N14" s="38" t="s">
        <v>46</v>
      </c>
      <c r="O14" s="37"/>
      <c r="P14" s="37"/>
      <c r="Q14" s="37"/>
      <c r="R14" s="37"/>
      <c r="S14" s="37"/>
      <c r="T14" s="37"/>
    </row>
    <row r="15">
      <c r="A15" s="3">
        <v>45964.0</v>
      </c>
      <c r="B15" s="4">
        <v>201.98</v>
      </c>
      <c r="C15" s="23">
        <v>6728.8</v>
      </c>
      <c r="E15" s="35">
        <f t="shared" ref="E15:F15" si="14">B15/B16-1</f>
        <v>-0.01082325285</v>
      </c>
      <c r="F15" s="35">
        <f t="shared" si="14"/>
        <v>-0.01628607351</v>
      </c>
      <c r="I15" s="36" t="s">
        <v>47</v>
      </c>
      <c r="J15" s="40">
        <v>1.0</v>
      </c>
      <c r="K15" s="40">
        <v>0.025251</v>
      </c>
      <c r="L15" s="40">
        <v>0.025251</v>
      </c>
      <c r="M15" s="40">
        <v>18.66485</v>
      </c>
      <c r="N15" s="44">
        <v>7.59E-5</v>
      </c>
      <c r="O15" s="37"/>
      <c r="P15" s="37"/>
      <c r="Q15" s="37"/>
      <c r="R15" s="37"/>
      <c r="S15" s="37"/>
      <c r="T15" s="37"/>
    </row>
    <row r="16">
      <c r="A16" s="3">
        <v>45957.0</v>
      </c>
      <c r="B16" s="4">
        <v>204.19</v>
      </c>
      <c r="C16" s="23">
        <v>6840.2</v>
      </c>
      <c r="E16" s="35">
        <f t="shared" ref="E16:F16" si="15">B16/B17-1</f>
        <v>-0.005745727224</v>
      </c>
      <c r="F16" s="35">
        <f t="shared" si="15"/>
        <v>0.007142552148</v>
      </c>
      <c r="I16" s="36" t="s">
        <v>48</v>
      </c>
      <c r="J16" s="40">
        <v>49.0</v>
      </c>
      <c r="K16" s="40">
        <v>0.06629</v>
      </c>
      <c r="L16" s="40">
        <v>0.001353</v>
      </c>
      <c r="M16" s="37"/>
      <c r="N16" s="37"/>
      <c r="O16" s="37"/>
      <c r="P16" s="37"/>
      <c r="Q16" s="37"/>
      <c r="R16" s="37"/>
      <c r="S16" s="37"/>
      <c r="T16" s="37"/>
    </row>
    <row r="17">
      <c r="A17" s="3">
        <v>45950.0</v>
      </c>
      <c r="B17" s="4">
        <v>205.37</v>
      </c>
      <c r="C17" s="23">
        <v>6791.69</v>
      </c>
      <c r="E17" s="35">
        <f t="shared" ref="E17:F17" si="16">B17/B18-1</f>
        <v>0.03811353182</v>
      </c>
      <c r="F17" s="35">
        <f t="shared" si="16"/>
        <v>0.01915963511</v>
      </c>
      <c r="I17" s="41" t="s">
        <v>49</v>
      </c>
      <c r="J17" s="42">
        <v>50.0</v>
      </c>
      <c r="K17" s="42">
        <v>0.091541</v>
      </c>
      <c r="L17" s="45"/>
      <c r="M17" s="45"/>
      <c r="N17" s="45"/>
      <c r="O17" s="37"/>
      <c r="P17" s="37"/>
      <c r="Q17" s="37"/>
      <c r="R17" s="37"/>
      <c r="S17" s="37"/>
      <c r="T17" s="37"/>
    </row>
    <row r="18">
      <c r="A18" s="3">
        <v>45943.0</v>
      </c>
      <c r="B18" s="4">
        <v>197.83</v>
      </c>
      <c r="C18" s="23">
        <v>6664.01</v>
      </c>
      <c r="E18" s="35">
        <f t="shared" ref="E18:F18" si="17">B18/B19-1</f>
        <v>0.06808120073</v>
      </c>
      <c r="F18" s="35">
        <f t="shared" si="17"/>
        <v>0.01701637998</v>
      </c>
      <c r="I18" s="37"/>
      <c r="J18" s="37"/>
      <c r="K18" s="37"/>
      <c r="L18" s="37"/>
      <c r="M18" s="37"/>
      <c r="N18" s="37"/>
      <c r="O18" s="37"/>
      <c r="P18" s="37"/>
      <c r="Q18" s="37"/>
      <c r="R18" s="37"/>
      <c r="S18" s="37"/>
      <c r="T18" s="37"/>
    </row>
    <row r="19">
      <c r="A19" s="3">
        <v>45936.0</v>
      </c>
      <c r="B19" s="4">
        <v>185.22</v>
      </c>
      <c r="C19" s="23">
        <v>6552.51</v>
      </c>
      <c r="E19" s="35">
        <f t="shared" ref="E19:F19" si="18">B19/B20-1</f>
        <v>-0.04815252582</v>
      </c>
      <c r="F19" s="35">
        <f t="shared" si="18"/>
        <v>-0.02431285076</v>
      </c>
      <c r="I19" s="43"/>
      <c r="J19" s="38" t="s">
        <v>50</v>
      </c>
      <c r="K19" s="38" t="s">
        <v>39</v>
      </c>
      <c r="L19" s="38" t="s">
        <v>51</v>
      </c>
      <c r="M19" s="38" t="s">
        <v>52</v>
      </c>
      <c r="N19" s="38" t="s">
        <v>53</v>
      </c>
      <c r="O19" s="38" t="s">
        <v>54</v>
      </c>
      <c r="P19" s="38" t="s">
        <v>55</v>
      </c>
      <c r="Q19" s="38" t="s">
        <v>56</v>
      </c>
      <c r="R19" s="46"/>
      <c r="S19" s="46"/>
      <c r="T19" s="46"/>
    </row>
    <row r="20">
      <c r="A20" s="3">
        <v>45929.0</v>
      </c>
      <c r="B20" s="4">
        <v>194.59</v>
      </c>
      <c r="C20" s="23">
        <v>6715.79</v>
      </c>
      <c r="E20" s="35">
        <f t="shared" ref="E20:F20" si="19">B20/B21-1</f>
        <v>-0.01771832408</v>
      </c>
      <c r="F20" s="35">
        <f t="shared" si="19"/>
        <v>0.01085088129</v>
      </c>
      <c r="I20" s="36" t="s">
        <v>57</v>
      </c>
      <c r="J20" s="40">
        <v>0.004273</v>
      </c>
      <c r="K20" s="40">
        <v>0.005185</v>
      </c>
      <c r="L20" s="40">
        <v>0.824111</v>
      </c>
      <c r="M20" s="40">
        <v>0.41387</v>
      </c>
      <c r="N20" s="40">
        <v>-0.00615</v>
      </c>
      <c r="O20" s="40">
        <v>0.014692</v>
      </c>
      <c r="P20" s="40">
        <v>-0.00615</v>
      </c>
      <c r="Q20" s="40">
        <v>0.014692</v>
      </c>
      <c r="R20" s="40"/>
      <c r="S20" s="40"/>
      <c r="T20" s="40"/>
    </row>
    <row r="21">
      <c r="A21" s="3">
        <v>45922.0</v>
      </c>
      <c r="B21" s="4">
        <v>198.1</v>
      </c>
      <c r="C21" s="23">
        <v>6643.7</v>
      </c>
      <c r="E21" s="35">
        <f t="shared" ref="E21:F21" si="20">B21/B22-1</f>
        <v>-0.004272430259</v>
      </c>
      <c r="F21" s="35">
        <f t="shared" si="20"/>
        <v>-0.003100072625</v>
      </c>
      <c r="I21" s="41" t="s">
        <v>33</v>
      </c>
      <c r="J21" s="42">
        <v>0.949935</v>
      </c>
      <c r="K21" s="42">
        <v>0.219878</v>
      </c>
      <c r="L21" s="42">
        <v>4.320284</v>
      </c>
      <c r="M21" s="47">
        <v>7.59E-5</v>
      </c>
      <c r="N21" s="42">
        <v>0.508074</v>
      </c>
      <c r="O21" s="42">
        <v>1.391797</v>
      </c>
      <c r="P21" s="42">
        <v>0.508074</v>
      </c>
      <c r="Q21" s="42">
        <v>1.391797</v>
      </c>
      <c r="R21" s="40"/>
      <c r="S21" s="40"/>
      <c r="T21" s="40"/>
    </row>
    <row r="22">
      <c r="A22" s="3">
        <v>45915.0</v>
      </c>
      <c r="B22" s="4">
        <v>198.95</v>
      </c>
      <c r="C22" s="23">
        <v>6664.36</v>
      </c>
      <c r="E22" s="35">
        <f t="shared" ref="E22:F22" si="21">B22/B23-1</f>
        <v>0.01437821853</v>
      </c>
      <c r="F22" s="35">
        <f t="shared" si="21"/>
        <v>0.01216076449</v>
      </c>
    </row>
    <row r="23">
      <c r="A23" s="3">
        <v>45908.0</v>
      </c>
      <c r="B23" s="4">
        <v>196.13</v>
      </c>
      <c r="C23" s="23">
        <v>6584.29</v>
      </c>
      <c r="E23" s="35">
        <f t="shared" ref="E23:F23" si="22">B23/B24-1</f>
        <v>-0.01748321811</v>
      </c>
      <c r="F23" s="35">
        <f t="shared" si="22"/>
        <v>0.01585898326</v>
      </c>
    </row>
    <row r="24">
      <c r="A24" s="3">
        <v>45901.0</v>
      </c>
      <c r="B24" s="4">
        <v>199.62</v>
      </c>
      <c r="C24" s="23">
        <v>6481.5</v>
      </c>
      <c r="E24" s="35">
        <f t="shared" ref="E24:F24" si="23">B24/B25-1</f>
        <v>0.02595466927</v>
      </c>
      <c r="F24" s="35">
        <f t="shared" si="23"/>
        <v>0.003287793371</v>
      </c>
    </row>
    <row r="25">
      <c r="A25" s="3">
        <v>45894.0</v>
      </c>
      <c r="B25" s="4">
        <v>194.57</v>
      </c>
      <c r="C25" s="23">
        <v>6460.26</v>
      </c>
      <c r="E25" s="35">
        <f t="shared" ref="E25:F25" si="24">B25/B26-1</f>
        <v>-0.03376868451</v>
      </c>
      <c r="F25" s="35">
        <f t="shared" si="24"/>
        <v>-0.001028311821</v>
      </c>
    </row>
    <row r="26">
      <c r="A26" s="3">
        <v>45887.0</v>
      </c>
      <c r="B26" s="4">
        <v>201.37</v>
      </c>
      <c r="C26" s="23">
        <v>6466.91</v>
      </c>
      <c r="E26" s="35">
        <f t="shared" ref="E26:F26" si="25">B26/B27-1</f>
        <v>0.03981204172</v>
      </c>
      <c r="F26" s="35">
        <f t="shared" si="25"/>
        <v>0.002652795436</v>
      </c>
    </row>
    <row r="27">
      <c r="A27" s="3">
        <v>45880.0</v>
      </c>
      <c r="B27" s="4">
        <v>193.66</v>
      </c>
      <c r="C27" s="23">
        <v>6449.8</v>
      </c>
      <c r="E27" s="35">
        <f t="shared" ref="E27:F27" si="26">B27/B28-1</f>
        <v>0.0266115352</v>
      </c>
      <c r="F27" s="35">
        <f t="shared" si="26"/>
        <v>0.009445257417</v>
      </c>
    </row>
    <row r="28">
      <c r="A28" s="3">
        <v>45873.0</v>
      </c>
      <c r="B28" s="4">
        <v>188.64</v>
      </c>
      <c r="C28" s="23">
        <v>6389.45</v>
      </c>
      <c r="E28" s="35">
        <f t="shared" ref="E28:F28" si="27">B28/B29-1</f>
        <v>0.04980800267</v>
      </c>
      <c r="F28" s="35">
        <f t="shared" si="27"/>
        <v>0.02427697294</v>
      </c>
    </row>
    <row r="29">
      <c r="A29" s="3">
        <v>45866.0</v>
      </c>
      <c r="B29" s="4">
        <v>179.69</v>
      </c>
      <c r="C29" s="23">
        <v>6238.01</v>
      </c>
      <c r="E29" s="35">
        <f t="shared" ref="E29:F29" si="28">B29/B30-1</f>
        <v>-0.04668682689</v>
      </c>
      <c r="F29" s="35">
        <f t="shared" si="28"/>
        <v>-0.02357778807</v>
      </c>
    </row>
    <row r="30">
      <c r="A30" s="3">
        <v>45859.0</v>
      </c>
      <c r="B30" s="4">
        <v>188.49</v>
      </c>
      <c r="C30" s="23">
        <v>6388.64</v>
      </c>
      <c r="E30" s="35">
        <f t="shared" ref="E30:F30" si="29">B30/B31-1</f>
        <v>0.117640083</v>
      </c>
      <c r="F30" s="35">
        <f t="shared" si="29"/>
        <v>0.0145867974</v>
      </c>
    </row>
    <row r="31">
      <c r="A31" s="3">
        <v>45852.0</v>
      </c>
      <c r="B31" s="4">
        <v>168.65</v>
      </c>
      <c r="C31" s="23">
        <v>6296.79</v>
      </c>
      <c r="E31" s="35">
        <f t="shared" ref="E31:F31" si="30">B31/B32-1</f>
        <v>-0.009456125925</v>
      </c>
      <c r="F31" s="35">
        <f t="shared" si="30"/>
        <v>0.005917169216</v>
      </c>
    </row>
    <row r="32">
      <c r="A32" s="3">
        <v>45845.0</v>
      </c>
      <c r="B32" s="4">
        <v>170.26</v>
      </c>
      <c r="C32" s="23">
        <v>6259.75</v>
      </c>
      <c r="E32" s="35">
        <f t="shared" ref="E32:F32" si="31">B32/B33-1</f>
        <v>-0.02647378352</v>
      </c>
      <c r="F32" s="35">
        <f t="shared" si="31"/>
        <v>-0.003121342177</v>
      </c>
    </row>
    <row r="33">
      <c r="A33" s="3">
        <v>45838.0</v>
      </c>
      <c r="B33" s="4">
        <v>174.89</v>
      </c>
      <c r="C33" s="23">
        <v>6279.35</v>
      </c>
      <c r="E33" s="35">
        <f t="shared" ref="E33:F33" si="32">B33/B34-1</f>
        <v>-0.004836690566</v>
      </c>
      <c r="F33" s="35">
        <f t="shared" si="32"/>
        <v>0.01721671713</v>
      </c>
    </row>
    <row r="34">
      <c r="A34" s="3">
        <v>45831.0</v>
      </c>
      <c r="B34" s="4">
        <v>175.74</v>
      </c>
      <c r="C34" s="23">
        <v>6173.07</v>
      </c>
      <c r="E34" s="35">
        <f t="shared" ref="E34:F34" si="33">B34/B35-1</f>
        <v>0.01937354988</v>
      </c>
      <c r="F34" s="35">
        <f t="shared" si="33"/>
        <v>0.03438932679</v>
      </c>
    </row>
    <row r="35">
      <c r="A35" s="3">
        <v>45824.0</v>
      </c>
      <c r="B35" s="4">
        <v>172.4</v>
      </c>
      <c r="C35" s="23">
        <v>5967.84</v>
      </c>
      <c r="E35" s="35">
        <f t="shared" ref="E35:F35" si="34">B35/B36-1</f>
        <v>-0.03552447552</v>
      </c>
      <c r="F35" s="35">
        <f t="shared" si="34"/>
        <v>-0.001527529835</v>
      </c>
    </row>
    <row r="36">
      <c r="A36" s="3">
        <v>45817.0</v>
      </c>
      <c r="B36" s="4">
        <v>178.75</v>
      </c>
      <c r="C36" s="23">
        <v>5976.97</v>
      </c>
      <c r="E36" s="35">
        <f t="shared" ref="E36:F36" si="35">B36/B37-1</f>
        <v>-0.03451442152</v>
      </c>
      <c r="F36" s="35">
        <f t="shared" si="35"/>
        <v>-0.003898099447</v>
      </c>
    </row>
    <row r="37">
      <c r="A37" s="3">
        <v>45810.0</v>
      </c>
      <c r="B37" s="4">
        <v>185.14</v>
      </c>
      <c r="C37" s="23">
        <v>6000.36</v>
      </c>
      <c r="E37" s="35">
        <f t="shared" ref="E37:F37" si="36">B37/B38-1</f>
        <v>-0.02849346697</v>
      </c>
      <c r="F37" s="35">
        <f t="shared" si="36"/>
        <v>0.01499909501</v>
      </c>
    </row>
    <row r="38">
      <c r="A38" s="3">
        <v>45803.0</v>
      </c>
      <c r="B38" s="4">
        <v>190.57</v>
      </c>
      <c r="C38" s="23">
        <v>5911.69</v>
      </c>
      <c r="E38" s="35">
        <f t="shared" ref="E38:F38" si="37">B38/B39-1</f>
        <v>0.04536478332</v>
      </c>
      <c r="F38" s="35">
        <f t="shared" si="37"/>
        <v>0.01876156765</v>
      </c>
    </row>
    <row r="39">
      <c r="A39" s="3">
        <v>45796.0</v>
      </c>
      <c r="B39" s="4">
        <v>182.3</v>
      </c>
      <c r="C39" s="23">
        <v>5802.82</v>
      </c>
      <c r="E39" s="35">
        <f t="shared" ref="E39:F39" si="38">B39/B40-1</f>
        <v>-0.004858343796</v>
      </c>
      <c r="F39" s="35">
        <f t="shared" si="38"/>
        <v>-0.02610776755</v>
      </c>
    </row>
    <row r="40">
      <c r="A40" s="3">
        <v>45789.0</v>
      </c>
      <c r="B40" s="4">
        <v>183.19</v>
      </c>
      <c r="C40" s="23">
        <v>5958.38</v>
      </c>
      <c r="E40" s="35">
        <f t="shared" ref="E40:F40" si="39">B40/B41-1</f>
        <v>-0.02314296379</v>
      </c>
      <c r="F40" s="35">
        <f t="shared" si="39"/>
        <v>0.05273405408</v>
      </c>
    </row>
    <row r="41">
      <c r="A41" s="3">
        <v>45782.0</v>
      </c>
      <c r="B41" s="4">
        <v>187.53</v>
      </c>
      <c r="C41" s="23">
        <v>5659.91</v>
      </c>
      <c r="E41" s="35">
        <f t="shared" ref="E41:F41" si="40">B41/B42-1</f>
        <v>-0.02450062422</v>
      </c>
      <c r="F41" s="35">
        <f t="shared" si="40"/>
        <v>-0.004705741673</v>
      </c>
    </row>
    <row r="42">
      <c r="A42" s="3">
        <v>45775.0</v>
      </c>
      <c r="B42" s="4">
        <v>192.24</v>
      </c>
      <c r="C42" s="23">
        <v>5686.67</v>
      </c>
      <c r="E42" s="35">
        <f t="shared" ref="E42:F42" si="41">B42/B43-1</f>
        <v>0.02141225227</v>
      </c>
      <c r="F42" s="35">
        <f t="shared" si="41"/>
        <v>0.0292224187</v>
      </c>
    </row>
    <row r="43">
      <c r="A43" s="3">
        <v>45768.0</v>
      </c>
      <c r="B43" s="4">
        <v>188.21</v>
      </c>
      <c r="C43" s="23">
        <v>5525.21</v>
      </c>
      <c r="E43" s="35">
        <f t="shared" ref="E43:F43" si="42">B43/B44-1</f>
        <v>0.0670710965</v>
      </c>
      <c r="F43" s="35">
        <f t="shared" si="42"/>
        <v>0.04590644935</v>
      </c>
    </row>
    <row r="44">
      <c r="A44" s="3">
        <v>45761.0</v>
      </c>
      <c r="B44" s="4">
        <v>176.38</v>
      </c>
      <c r="C44" s="23">
        <v>5282.7</v>
      </c>
      <c r="E44" s="35">
        <f t="shared" ref="E44:F44" si="43">B44/B45-1</f>
        <v>0.04108133632</v>
      </c>
      <c r="F44" s="35">
        <f t="shared" si="43"/>
        <v>-0.01503907998</v>
      </c>
    </row>
    <row r="45">
      <c r="A45" s="3">
        <v>45754.0</v>
      </c>
      <c r="B45" s="4">
        <v>169.42</v>
      </c>
      <c r="C45" s="23">
        <v>5363.36</v>
      </c>
      <c r="E45" s="35">
        <f t="shared" ref="E45:F45" si="44">B45/B46-1</f>
        <v>0.08902744745</v>
      </c>
      <c r="F45" s="35">
        <f t="shared" si="44"/>
        <v>0.05701132028</v>
      </c>
    </row>
    <row r="46">
      <c r="A46" s="3">
        <v>45747.0</v>
      </c>
      <c r="B46" s="4">
        <v>155.57</v>
      </c>
      <c r="C46" s="23">
        <v>5074.08</v>
      </c>
      <c r="E46" s="35">
        <f t="shared" ref="E46:F46" si="45">B46/B47-1</f>
        <v>-0.1141165082</v>
      </c>
      <c r="F46" s="35">
        <f t="shared" si="45"/>
        <v>-0.09081982605</v>
      </c>
    </row>
    <row r="47">
      <c r="A47" s="3">
        <v>45740.0</v>
      </c>
      <c r="B47" s="4">
        <v>175.61</v>
      </c>
      <c r="C47" s="23">
        <v>5580.94</v>
      </c>
      <c r="E47" s="35">
        <f t="shared" ref="E47:F47" si="46">B47/B48-1</f>
        <v>-0.0610095177</v>
      </c>
      <c r="F47" s="35">
        <f t="shared" si="46"/>
        <v>-0.01528347296</v>
      </c>
    </row>
    <row r="48">
      <c r="A48" s="3">
        <v>45733.0</v>
      </c>
      <c r="B48" s="4">
        <v>187.02</v>
      </c>
      <c r="C48" s="23">
        <v>5667.56</v>
      </c>
      <c r="E48" s="35">
        <f t="shared" ref="E48:F48" si="47">B48/B49-1</f>
        <v>0.02157644617</v>
      </c>
      <c r="F48" s="35">
        <f t="shared" si="47"/>
        <v>0.005075421976</v>
      </c>
    </row>
    <row r="49">
      <c r="A49" s="3">
        <v>45726.0</v>
      </c>
      <c r="B49" s="4">
        <v>183.07</v>
      </c>
      <c r="C49" s="23">
        <v>5638.94</v>
      </c>
      <c r="E49" s="35">
        <f t="shared" ref="E49:F49" si="48">B49/B50-1</f>
        <v>-0.01844405126</v>
      </c>
      <c r="F49" s="35">
        <f t="shared" si="48"/>
        <v>-0.02274791168</v>
      </c>
    </row>
    <row r="50">
      <c r="A50" s="3">
        <v>45719.0</v>
      </c>
      <c r="B50" s="4">
        <v>186.51</v>
      </c>
      <c r="C50" s="23">
        <v>5770.2</v>
      </c>
      <c r="E50" s="35">
        <f t="shared" ref="E50:F50" si="49">B50/B51-1</f>
        <v>0.04792673334</v>
      </c>
      <c r="F50" s="35">
        <f t="shared" si="49"/>
        <v>-0.03095138131</v>
      </c>
    </row>
    <row r="51">
      <c r="A51" s="3">
        <v>45712.0</v>
      </c>
      <c r="B51" s="4">
        <v>177.98</v>
      </c>
      <c r="C51" s="23">
        <v>5954.5</v>
      </c>
      <c r="E51" s="35">
        <f t="shared" ref="E51:F51" si="50">B51/B52-1</f>
        <v>0.02469917669</v>
      </c>
      <c r="F51" s="35">
        <f t="shared" si="50"/>
        <v>-0.009750329695</v>
      </c>
    </row>
    <row r="52">
      <c r="A52" s="3">
        <v>45705.0</v>
      </c>
      <c r="B52" s="4">
        <v>173.69</v>
      </c>
      <c r="C52" s="23">
        <v>6013.13</v>
      </c>
      <c r="E52" s="35">
        <f t="shared" ref="E52:F52" si="51">B52/B53-1</f>
        <v>-0.03868718176</v>
      </c>
      <c r="F52" s="35">
        <f t="shared" si="51"/>
        <v>-0.0165995326</v>
      </c>
    </row>
    <row r="53">
      <c r="A53" s="3">
        <v>45698.0</v>
      </c>
      <c r="B53" s="4">
        <v>180.68</v>
      </c>
      <c r="C53" s="23">
        <v>6114.63</v>
      </c>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sheetData>
  <mergeCells count="2">
    <mergeCell ref="I4:J4"/>
    <mergeCell ref="I6:J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25"/>
  </cols>
  <sheetData>
    <row r="1">
      <c r="A1" s="48" t="s">
        <v>58</v>
      </c>
    </row>
    <row r="2">
      <c r="A2" s="49" t="s">
        <v>59</v>
      </c>
      <c r="B2" s="50"/>
      <c r="C2" s="50" t="s">
        <v>16</v>
      </c>
      <c r="D2" s="51">
        <v>0.004057478716238337</v>
      </c>
      <c r="E2" s="51">
        <v>0.006115178169389995</v>
      </c>
      <c r="F2" s="50"/>
      <c r="G2" s="50"/>
    </row>
    <row r="3">
      <c r="A3" s="49" t="s">
        <v>60</v>
      </c>
      <c r="B3" s="50"/>
      <c r="C3" s="50" t="s">
        <v>17</v>
      </c>
      <c r="D3" s="51">
        <v>0.05391576064564516</v>
      </c>
      <c r="E3" s="51">
        <v>0.0338417570169851</v>
      </c>
      <c r="F3" s="50"/>
      <c r="G3" s="50"/>
    </row>
    <row r="4">
      <c r="A4" s="49" t="s">
        <v>61</v>
      </c>
      <c r="B4" s="50"/>
      <c r="C4" s="50" t="s">
        <v>18</v>
      </c>
      <c r="D4" s="51">
        <v>0.0046510950426643625</v>
      </c>
      <c r="E4" s="51">
        <v>0.0017246065468120855</v>
      </c>
      <c r="F4" s="50"/>
      <c r="G4" s="50"/>
    </row>
    <row r="5">
      <c r="A5" s="49" t="s">
        <v>62</v>
      </c>
      <c r="B5" s="50"/>
      <c r="C5" s="50" t="s">
        <v>19</v>
      </c>
      <c r="D5" s="51">
        <v>0.06819893725465495</v>
      </c>
      <c r="E5" s="51">
        <v>0.041528382424699445</v>
      </c>
      <c r="F5" s="50"/>
      <c r="G5" s="50"/>
    </row>
    <row r="6">
      <c r="A6" s="49" t="s">
        <v>63</v>
      </c>
      <c r="B6" s="50"/>
      <c r="C6" s="52" t="s">
        <v>20</v>
      </c>
      <c r="D6" s="53">
        <v>16.808205790881328</v>
      </c>
      <c r="E6" s="53">
        <v>6.791033928099271</v>
      </c>
      <c r="F6" s="50"/>
      <c r="G6" s="50"/>
    </row>
    <row r="7">
      <c r="A7" s="49" t="s">
        <v>64</v>
      </c>
      <c r="B7" s="50"/>
      <c r="C7" s="50"/>
    </row>
    <row r="8">
      <c r="A8" s="49" t="s">
        <v>65</v>
      </c>
      <c r="B8" s="50"/>
      <c r="C8" s="50" t="s">
        <v>27</v>
      </c>
      <c r="D8" s="54">
        <v>-58.00592619958674</v>
      </c>
      <c r="E8" s="54">
        <v>-95.20921815338984</v>
      </c>
    </row>
    <row r="11">
      <c r="A11" s="55" t="s">
        <v>66</v>
      </c>
    </row>
    <row r="12">
      <c r="A12" s="56" t="s">
        <v>67</v>
      </c>
    </row>
    <row r="13">
      <c r="A13" s="56" t="s">
        <v>68</v>
      </c>
    </row>
    <row r="14">
      <c r="A14" s="56" t="s">
        <v>69</v>
      </c>
    </row>
  </sheetData>
  <drawing r:id="rId1"/>
</worksheet>
</file>