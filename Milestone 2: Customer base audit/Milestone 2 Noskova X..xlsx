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drawingml.chart+xml" PartName="/xl/charts/chart1.xml"/>
  <Override ContentType="application/vnd.openxmlformats-officedocument.drawingml.chart+xml" PartName="/xl/charts/chart6.xml"/>
  <Override ContentType="application/vnd.openxmlformats-officedocument.drawingml.chart+xml" PartName="/xl/charts/chart4.xml"/>
  <Override ContentType="application/vnd.openxmlformats-officedocument.drawingml.chart+xml" PartName="/xl/charts/chart5.xml"/>
  <Override ContentType="application/vnd.openxmlformats-officedocument.drawingml.chart+xml" PartName="/xl/charts/chart3.xml"/>
  <Override ContentType="application/vnd.openxmlformats-officedocument.drawingml.chart+xml" PartName="/xl/charts/chart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Deciles" sheetId="1" r:id="rId5"/>
    <sheet state="visible" name="Cohort" sheetId="2" r:id="rId6"/>
    <sheet state="visible" name="3 Cohorts" sheetId="3" r:id="rId7"/>
    <sheet state="visible" name="Yearly summaries" sheetId="4" r:id="rId8"/>
    <sheet state="visible" name="Analytical Synopsis" sheetId="5" r:id="rId9"/>
  </sheets>
  <definedNames/>
  <calcPr/>
</workbook>
</file>

<file path=xl/sharedStrings.xml><?xml version="1.0" encoding="utf-8"?>
<sst xmlns="http://schemas.openxmlformats.org/spreadsheetml/2006/main" count="199" uniqueCount="80">
  <si>
    <t>Decile</t>
  </si>
  <si>
    <t># Customers</t>
  </si>
  <si>
    <t>Total Transactions</t>
  </si>
  <si>
    <t>Revenue</t>
  </si>
  <si>
    <t>Profit</t>
  </si>
  <si>
    <t>% Customers</t>
  </si>
  <si>
    <t>% Transactions</t>
  </si>
  <si>
    <t>% Revenue</t>
  </si>
  <si>
    <t>% Profit</t>
  </si>
  <si>
    <t>Avg spend/cust</t>
  </si>
  <si>
    <t>Avg profit/cust</t>
  </si>
  <si>
    <t>AOF</t>
  </si>
  <si>
    <t>AOV</t>
  </si>
  <si>
    <t>Avg margin</t>
  </si>
  <si>
    <t>Table 1 Customer Decile Analysis, by Total Profitability in 2024</t>
  </si>
  <si>
    <t xml:space="preserve">How different are your customers? </t>
  </si>
  <si>
    <t>Q2: What behaviors explain the differences between the most and least profitable customers?</t>
  </si>
  <si>
    <t>Looking at the decile analysis in 2024, the customers show very different buying behavior and profitability:
The top 10% of customers (Decile 1) are highly valuable, generating 29% of transactions, 40% of total spend, and 40% of profit. This shows a strong concentration of revenue and profit in a small group.</t>
  </si>
  <si>
    <r>
      <rPr>
        <rFont val="Arial"/>
        <b/>
        <i/>
        <color theme="1"/>
        <sz val="12.0"/>
      </rPr>
      <t>Purchase frequency</t>
    </r>
    <r>
      <rPr>
        <rFont val="Arial"/>
        <color theme="1"/>
        <sz val="12.0"/>
      </rPr>
      <t>: High-value customers place more orders per quarter. For example, the top decile averages a higher number of transactions relative to lower deciles (Decile 1: 29% of total transactions vs. Deciles 6–10: 26% combined).</t>
    </r>
  </si>
  <si>
    <t>The next few deciles gradually contribute less. For example, Decile 2 contributes 14% of transactions and 17% of profit, while Decile 3 contributes 10% of transactions and 12% of profit.The lower deciles (Deciles 6-10) contribute very little. Decile 10 generates almost no transactions (0%) and only 1% of profit, indicating a very low value segment.</t>
  </si>
  <si>
    <r>
      <rPr>
        <rFont val="Arial"/>
        <b/>
        <i/>
        <color theme="1"/>
        <sz val="12.0"/>
      </rPr>
      <t>Total spending</t>
    </r>
    <r>
      <rPr>
        <rFont val="Arial"/>
        <color theme="1"/>
        <sz val="12.0"/>
      </rPr>
      <t>: The top 10% of customers account for 40% of total profit and 40% of total spend, while the bottom 50% contribute only about 15% of profit, showing a strong correlation between spending volume and profitability.</t>
    </r>
  </si>
  <si>
    <t>Overall, customer behavior is highly skewed, with a small group of top customers generating most of the profit, while the majority contribute much less. This suggests a focus on retaining and engaging high-value customers, while exploring strategies to increase activity from lower-value segments.</t>
  </si>
  <si>
    <r>
      <rPr>
        <rFont val="Arial"/>
        <b/>
        <i/>
        <color theme="1"/>
        <sz val="12.0"/>
      </rPr>
      <t>Seasonal engagement</t>
    </r>
    <r>
      <rPr>
        <rFont val="Arial"/>
        <color theme="1"/>
        <sz val="12.0"/>
      </rPr>
      <t>: Top customers disproportionately increase activity during high-demand periods, such as Q4, contributing disproportionately to seasonal revenue and profit.</t>
    </r>
  </si>
  <si>
    <r>
      <rPr>
        <rFont val="Arial"/>
        <b/>
        <i/>
        <color theme="1"/>
        <sz val="12.0"/>
      </rPr>
      <t>Retention</t>
    </r>
    <r>
      <rPr>
        <rFont val="Arial"/>
        <color theme="1"/>
        <sz val="12.0"/>
      </rPr>
      <t>: Profitable customers remain active across multiple quarters, while lower-value customers exhibit rapid attrition. For instance, in the 2021 cohort, only ~12% of customers remain active after one year.</t>
    </r>
  </si>
  <si>
    <t>Quarter</t>
  </si>
  <si>
    <t>2021Q1</t>
  </si>
  <si>
    <t>2021Q2</t>
  </si>
  <si>
    <t>2021Q3</t>
  </si>
  <si>
    <t>2021Q4</t>
  </si>
  <si>
    <t>2022Q1</t>
  </si>
  <si>
    <t>2022Q2</t>
  </si>
  <si>
    <t>2022Q3</t>
  </si>
  <si>
    <t>2022Q4</t>
  </si>
  <si>
    <t>2023Q1</t>
  </si>
  <si>
    <t>2023Q2</t>
  </si>
  <si>
    <t>2023Q3</t>
  </si>
  <si>
    <t>2023Q4</t>
  </si>
  <si>
    <t>2024Q1</t>
  </si>
  <si>
    <t>2024Q2</t>
  </si>
  <si>
    <t>2024Q3</t>
  </si>
  <si>
    <t>2024Q4</t>
  </si>
  <si>
    <t>How does their behavior evolve over time?</t>
  </si>
  <si>
    <t>Q1: How many customers does KazMarket really have?</t>
  </si>
  <si>
    <t>Over time, customer behavior shows clear changes, which is characteristic of many retail businesses. The number of active customers generally declines after the first quarter, reflecting some attrition, but total transactions and revenue among remaining customers remain fairly stable. 
Peaks in revenue and profit are observed in Q4 each year - for example, in 2021Q4 and 2024Q4 indicating seasonal effects like holiday shopping. Although spending per active customer appears steady, this results from higher order frequency offsetting slightly lower order values, as seen in the trend where average transactions increase even when total revenue per customer does not. 
Overall, the data shows that while some customers drop out over time, those who remain tend to buy more frequently, especially during seasonal peaks.</t>
  </si>
  <si>
    <t xml:space="preserve">Focusing only on the total number of acquired customers can overestimate the value of the customer base and ignore important issues such as retention. Therefore, a “real customer” can be defined as someone who made at least one purchase in the analyzed period. 
Based on the cohort data, the initial group includes 2,943 customers in 2021Q1, but only a small fraction remains active in later quarters. In fact, the number of real, consistently active customers is only up to 353, showing that although KazMarket has many registered customers, the effective customer base consists mainly of those who continue purchasing over time.
</t>
  </si>
  <si>
    <t>Q3 2021</t>
  </si>
  <si>
    <t>Q4 2021</t>
  </si>
  <si>
    <t>Q4 2022</t>
  </si>
  <si>
    <t>% active</t>
  </si>
  <si>
    <t>Avg spend/active customer</t>
  </si>
  <si>
    <r>
      <rPr>
        <rFont val="Arial"/>
        <color rgb="FFFF0000"/>
        <sz val="11.0"/>
      </rPr>
      <t xml:space="preserve">Percentage of Active Customers </t>
    </r>
    <r>
      <rPr>
        <rFont val="Arial"/>
        <color theme="1"/>
        <sz val="11.0"/>
      </rPr>
      <t>chart shows how the share of customers who continue purchasing changes over time after their first purchase. It highlights customer retention and attrition, showing that the percentage of active customers drops quickly after the initial quarter and then stabilizes at a low level.</t>
    </r>
  </si>
  <si>
    <r>
      <rPr>
        <rFont val="Arial"/>
        <color rgb="FFFF0000"/>
        <sz val="11.0"/>
      </rPr>
      <t>Avg Spend per Active Customer</t>
    </r>
    <r>
      <rPr>
        <rFont val="Arial"/>
        <color theme="1"/>
        <sz val="11.0"/>
      </rPr>
      <t xml:space="preserve"> chart shows the average amount of money spent by customers who are active in each quarter. It helps understand whether remaining customers are spending more or less over time. The chart suggests that spending per active customer remains relatively stable with some seasonal fluctuations.</t>
    </r>
  </si>
  <si>
    <t>Are different cohorts behaving differently?</t>
  </si>
  <si>
    <r>
      <rPr>
        <rFont val="Arial"/>
        <color rgb="FFFF0000"/>
        <sz val="11.0"/>
      </rPr>
      <t>AOV (Average Order Value)</t>
    </r>
    <r>
      <rPr>
        <rFont val="Arial"/>
        <color theme="1"/>
        <sz val="11.0"/>
      </rPr>
      <t xml:space="preserve">  chart shows the average value of each order placed by customers. It helps identify whether customers are making larger or smaller purchases over time. The values fluctuate slightly but generally remain within a similar range, indicating relatively stable order sizes.</t>
    </r>
  </si>
  <si>
    <t>Yes, the cohorts vary in their transaction patterns, although they still share some similar trends.</t>
  </si>
  <si>
    <t>The Q3 2021 cohort shows a more stable purchasing pattern with less seasonality. After the first purchase, the percentage of active customers decreases and then remains relatively low, while spending per active customer fluctuates moderately over time. This suggests that these customers purchase more evenly throughout the year without strong seasonal spikes.</t>
  </si>
  <si>
    <t>The Q4 2021 cohort varies from the Q3 cohort by showing stronger seasonal behavior. Although customer activity declines after acquisition, spending and transactions increase again in later Q4 periods. This indicates that many of these customers return to purchase during the holiday season, suggesting the presence of “holiday shoppers”.</t>
  </si>
  <si>
    <t>The Q4 2022 cohort also varies in its behavior but follows a pattern similar to the Q4 2021 cohort. Customer activity decreases after the first quarter but rises again during later holiday periods. However, outside the holiday season, their spending tends to be slightly lower.</t>
  </si>
  <si>
    <t>Overall, the cohorts vary mainly in their seasonal purchasing patterns: Q4 cohorts tend to show stronger holiday-driven repurchasing, while the Q3 cohort demonstrates a more consistent but less seasonal buying pattern.</t>
  </si>
  <si>
    <t>How healthy is the company customer base?</t>
  </si>
  <si>
    <t>Pre-2021</t>
  </si>
  <si>
    <t>KazMarket’s customer base shows moderate health with mixed signals. On one hand, the company continues to generate strong revenue and profit, especially during seasonal peaks. The presence of highly profitable customers in the top deciles also supports financial performance.</t>
  </si>
  <si>
    <t>On the other hand, the data reveals significant customer attrition over time, meaning that many customers do not remain active after their first purchase. Additionally, profitability is highly dependent on a small group of high-value customers.</t>
  </si>
  <si>
    <t>Therefore, the company’s customer base is profitable but somewhat fragile, because it relies heavily on a limited segment of customers.</t>
  </si>
  <si>
    <t>Q3: How do you evaluate the health of KazMarket’s customer base?</t>
  </si>
  <si>
    <t>How do you evaluate KazMarket’s potential for growth?</t>
  </si>
  <si>
    <t>The customer base shows moderate health:</t>
  </si>
  <si>
    <t xml:space="preserve">
KazMarket has good growth potential if it improves customer retention and increases engagement among mid-value customers. Since many customers already make at least one purchase, improving loyalty programs, personalization, or marketing campaigns could increase purchase frequency and lifetime value.
Growth could also come from converting low-value customers into more active buyers.</t>
  </si>
  <si>
    <r>
      <rPr>
        <rFont val="Arial"/>
        <i/>
        <color theme="1"/>
        <sz val="12.0"/>
      </rPr>
      <t>Strength</t>
    </r>
    <r>
      <rPr>
        <rFont val="Arial"/>
        <color theme="1"/>
        <sz val="12.0"/>
      </rPr>
      <t xml:space="preserve">: KazMarket has a highly valuable top customer segment, where the top 10% generate 40% of total profit, providing strong financial performance. 
</t>
    </r>
    <r>
      <rPr>
        <rFont val="Arial"/>
        <i/>
        <color theme="1"/>
        <sz val="12.0"/>
      </rPr>
      <t>Weakness</t>
    </r>
    <r>
      <rPr>
        <rFont val="Arial"/>
        <color theme="1"/>
        <sz val="12.0"/>
      </rPr>
      <t>: The company experiences significant customer attrition, as the number of active customers declines quickly after the first purchase.</t>
    </r>
  </si>
  <si>
    <t>What other analyses would you conduct with the transactional data?</t>
  </si>
  <si>
    <t>1-Retention and churn analysis
To understand when and why customers stop purchasing.
2-Customer Lifetime Value (CLV) analysis
To estimate the long-term value of different customer segments.
3-Customer segmentation analysis
To identify behavioral groups based on frequency, spending, and recency.</t>
  </si>
  <si>
    <t>Table 4 Yearly summaries for all cohorts of customers, including those acquired before 2021</t>
  </si>
  <si>
    <t>Analytical Synopsis: KazMarket Customer Base Audit</t>
  </si>
  <si>
    <t>Analyzing a company’s customer base is critical for understanding profitability, identifying high-value segments, and guiding strategic decisions. It helps reveal patterns in customer behavior, assess retention and churn, and evaluate the sustainability of revenue streams. For KazMarket, a detailed analysis of deciles and cohorts provides insights into which customers drive profit, how engagement evolves over time, and where opportunities for growth exist.</t>
  </si>
  <si>
    <t>KazMarket’s customer base exhibits a highly skewed distribution, with the top 10% of customers generating 40% of total profit, while the bottom 50% contribute only about 15%. This highlights a heavy reliance on a small segment for financial performance. Cohort analysis shows significant attrition after the first purchase: the 2021Q1 cohort started with nearly 3,000 customers but retained only about 12% in the following quarter. Despite this decline, seasonal trends are apparent, with Q4 consistently generating the highest revenue, indicating predictable holiday-driven demand.</t>
  </si>
  <si>
    <t>Multiple cohort comparisons reveal similar behavioral trends, although newer cohorts generate slightly lower revenue and profit, possibly due to changes in acquisition strategy or market conditions. Active customers maintain relatively stable spending, but average order values decrease slightly while purchase frequency increases, reflecting a shift toward smaller, more frequent transactions.</t>
  </si>
  <si>
    <t>Overall, KazMarket’s customer base is profitable but fragile. Strengths include a highly valuable top segment and strong seasonal revenue, while weaknesses are high attrition and heavy dependence on top customers. High-value customers differ from low-value ones in purchase frequency, total spending, retention, and engagement during peak periods, whereas low-value customers exhibit early churn and low engagement.</t>
  </si>
  <si>
    <t>KazMarket has strong growth potential if it focuses on improving retention, enhancing engagement among mid-value customers, and converting low-value customers into regular buyers. Additional analyses such as customer lifetime value, retention curves, behavioral segmentation, and marketing channel effectiveness could provide actionable insights to support long-term profitability. In conclusion, understanding customer behavior allows KazMarket to make informed strategic decisions, strengthen retention, and ensure sustainable growth beyond reliance on the top deciles.</t>
  </si>
  <si>
    <t>Quantitative and Statistical Skills</t>
  </si>
  <si>
    <t>The analysis of customer transaction data fostered strong analytical and quantitative reasoning skills, including the ability to organize, process, and interpret complex datasets. It enhanced attention to detail and precision through calculation of deciles, cohort retention rates, and profit distributions. The work strengthened critical thinking and problem-solving abilities via identification of high- and low-value customer segments, churn patterns, and changes in purchasing behavior over time. Additionally, it developed data-driven decision-making and business interpretation skills, applying metrics such as revenue trends and seasonal engagement patterns to evaluate profitability and communicate actionable insights effectively.</t>
  </si>
</sst>
</file>

<file path=xl/styles.xml><?xml version="1.0" encoding="utf-8"?>
<styleSheet xmlns="http://schemas.openxmlformats.org/spreadsheetml/2006/main" xmlns:x14ac="http://schemas.microsoft.com/office/spreadsheetml/2009/9/ac" xmlns:mc="http://schemas.openxmlformats.org/markup-compatibility/2006">
  <numFmts count="4">
    <numFmt numFmtId="164" formatCode="0.0%"/>
    <numFmt numFmtId="165" formatCode="0.0"/>
    <numFmt numFmtId="166" formatCode="#,##0;(#,##0)"/>
    <numFmt numFmtId="167" formatCode="_(* #,##0_);_(* \(#,##0\);_(* &quot;-&quot;??_);_(@_)"/>
  </numFmts>
  <fonts count="18">
    <font>
      <sz val="10.0"/>
      <color rgb="FF000000"/>
      <name val="Arial"/>
      <scheme val="minor"/>
    </font>
    <font>
      <sz val="11.0"/>
      <color theme="1"/>
      <name val="Calibri"/>
    </font>
    <font>
      <color theme="1"/>
      <name val="Arial"/>
      <scheme val="minor"/>
    </font>
    <font>
      <color theme="1"/>
      <name val="Arial"/>
    </font>
    <font>
      <b/>
      <sz val="13.0"/>
      <color theme="1"/>
      <name val="Arial"/>
      <scheme val="minor"/>
    </font>
    <font/>
    <font>
      <sz val="12.0"/>
      <color theme="1"/>
      <name val="Arial"/>
      <scheme val="minor"/>
    </font>
    <font>
      <sz val="11.0"/>
      <color theme="1"/>
      <name val="Arial"/>
      <scheme val="minor"/>
    </font>
    <font>
      <b/>
      <sz val="12.0"/>
      <color rgb="FF000000"/>
      <name val="Roboto"/>
    </font>
    <font>
      <b/>
      <sz val="11.0"/>
      <color rgb="FFC00000"/>
      <name val="Calibri"/>
    </font>
    <font>
      <u/>
      <sz val="11.0"/>
      <color theme="1"/>
      <name val="Calibri"/>
    </font>
    <font>
      <u/>
      <sz val="11.0"/>
      <color theme="1"/>
      <name val="Calibri"/>
    </font>
    <font>
      <b/>
      <sz val="13.0"/>
      <color rgb="FF000000"/>
      <name val="Roboto"/>
    </font>
    <font>
      <sz val="13.0"/>
      <color theme="1"/>
      <name val="Arial"/>
      <scheme val="minor"/>
    </font>
    <font>
      <sz val="12.0"/>
      <color rgb="FF000000"/>
      <name val="Roboto"/>
    </font>
    <font>
      <sz val="11.0"/>
      <color rgb="FFC00000"/>
      <name val="Calibri"/>
    </font>
    <font>
      <b/>
      <color theme="1"/>
      <name val="Calibri"/>
    </font>
    <font>
      <b/>
      <sz val="16.0"/>
      <color theme="1"/>
      <name val="Arial"/>
      <scheme val="minor"/>
    </font>
  </fonts>
  <fills count="6">
    <fill>
      <patternFill patternType="none"/>
    </fill>
    <fill>
      <patternFill patternType="lightGray"/>
    </fill>
    <fill>
      <patternFill patternType="solid">
        <fgColor rgb="FFFFFFFF"/>
        <bgColor rgb="FFFFFFFF"/>
      </patternFill>
    </fill>
    <fill>
      <patternFill patternType="solid">
        <fgColor rgb="FFE7E6E6"/>
        <bgColor rgb="FFE7E6E6"/>
      </patternFill>
    </fill>
    <fill>
      <patternFill patternType="solid">
        <fgColor rgb="FFE3FEE0"/>
        <bgColor rgb="FFE3FEE0"/>
      </patternFill>
    </fill>
    <fill>
      <patternFill patternType="solid">
        <fgColor rgb="FFFCE5CD"/>
        <bgColor rgb="FFFCE5CD"/>
      </patternFill>
    </fill>
  </fills>
  <borders count="27">
    <border/>
    <border>
      <left style="thin">
        <color rgb="FF000000"/>
      </left>
      <right style="thin">
        <color rgb="FF000000"/>
      </right>
      <top style="thin">
        <color rgb="FF000000"/>
      </top>
      <bottom style="thin">
        <color rgb="FF000000"/>
      </bottom>
    </border>
    <border>
      <left style="thin">
        <color rgb="FF000000"/>
      </left>
    </border>
    <border>
      <right style="thin">
        <color rgb="FF000000"/>
      </right>
    </border>
    <border>
      <left/>
      <right/>
      <bottom/>
    </border>
    <border>
      <left/>
      <bottom/>
    </border>
    <border>
      <left/>
      <right/>
      <top/>
      <bottom/>
    </border>
    <border>
      <left/>
      <top/>
      <bottom/>
    </border>
    <border>
      <left style="thin">
        <color rgb="FF000000"/>
      </left>
      <bottom style="thin">
        <color rgb="FF000000"/>
      </bottom>
    </border>
    <border>
      <bottom style="thin">
        <color rgb="FF000000"/>
      </bottom>
    </border>
    <border>
      <right style="thin">
        <color rgb="FF000000"/>
      </right>
      <bottom style="thin">
        <color rgb="FF000000"/>
      </bottom>
    </border>
    <border>
      <left/>
      <right/>
      <top/>
      <bottom style="double">
        <color rgb="FF000000"/>
      </bottom>
    </border>
    <border>
      <left/>
      <top/>
      <bottom style="double">
        <color rgb="FF000000"/>
      </bottom>
    </border>
    <border>
      <left style="thin">
        <color rgb="FF000000"/>
      </left>
      <top style="thin">
        <color rgb="FF000000"/>
      </top>
    </border>
    <border>
      <top style="thin">
        <color rgb="FF000000"/>
      </top>
    </border>
    <border>
      <right style="thin">
        <color rgb="FF000000"/>
      </right>
      <top style="thin">
        <color rgb="FF000000"/>
      </top>
    </border>
    <border>
      <left/>
      <right/>
      <top style="thin">
        <color rgb="FF000000"/>
      </top>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top style="thin">
        <color rgb="FF000000"/>
      </top>
      <bottom style="thin">
        <color rgb="FF000000"/>
      </bottom>
    </border>
    <border>
      <left/>
      <right/>
      <top style="thin">
        <color rgb="FF000000"/>
      </top>
      <bottom style="thin">
        <color rgb="FF000000"/>
      </bottom>
    </border>
    <border>
      <left style="thin">
        <color rgb="FF000000"/>
      </left>
      <right/>
      <bottom/>
    </border>
    <border>
      <left style="thin">
        <color rgb="FF000000"/>
      </left>
      <right/>
      <top/>
      <bottom/>
    </border>
    <border>
      <left style="thin">
        <color rgb="FF000000"/>
      </left>
      <right/>
      <top/>
      <bottom style="thin">
        <color rgb="FF000000"/>
      </bottom>
    </border>
    <border>
      <left/>
      <right/>
      <top/>
      <bottom style="thin">
        <color rgb="FF000000"/>
      </bottom>
    </border>
    <border>
      <left/>
      <right/>
      <top/>
      <bottom style="medium">
        <color rgb="FF000000"/>
      </bottom>
    </border>
  </borders>
  <cellStyleXfs count="1">
    <xf borderId="0" fillId="0" fontId="0" numFmtId="0" applyAlignment="1" applyFont="1"/>
  </cellStyleXfs>
  <cellXfs count="145">
    <xf borderId="0" fillId="0" fontId="0" numFmtId="0" xfId="0" applyAlignment="1" applyFont="1">
      <alignment readingOrder="0" shrinkToFit="0" vertical="bottom" wrapText="0"/>
    </xf>
    <xf borderId="0" fillId="2" fontId="1" numFmtId="0" xfId="0" applyAlignment="1" applyFill="1" applyFont="1">
      <alignment horizontal="right" vertical="bottom"/>
    </xf>
    <xf borderId="1" fillId="3" fontId="1" numFmtId="0" xfId="0" applyAlignment="1" applyBorder="1" applyFill="1" applyFont="1">
      <alignment horizontal="right" vertical="bottom"/>
    </xf>
    <xf borderId="1" fillId="0" fontId="1" numFmtId="0" xfId="0" applyAlignment="1" applyBorder="1" applyFont="1">
      <alignment horizontal="right" vertical="bottom"/>
    </xf>
    <xf borderId="0" fillId="2" fontId="1" numFmtId="4" xfId="0" applyAlignment="1" applyFont="1" applyNumberFormat="1">
      <alignment horizontal="right" vertical="bottom"/>
    </xf>
    <xf borderId="0" fillId="3" fontId="1" numFmtId="3" xfId="0" applyAlignment="1" applyFont="1" applyNumberFormat="1">
      <alignment horizontal="right" vertical="bottom"/>
    </xf>
    <xf borderId="0" fillId="3" fontId="1" numFmtId="4" xfId="0" applyAlignment="1" applyFont="1" applyNumberFormat="1">
      <alignment horizontal="right" vertical="bottom"/>
    </xf>
    <xf borderId="2" fillId="0" fontId="1" numFmtId="164" xfId="0" applyBorder="1" applyFont="1" applyNumberFormat="1"/>
    <xf borderId="0" fillId="0" fontId="1" numFmtId="9" xfId="0" applyFont="1" applyNumberFormat="1"/>
    <xf borderId="0" fillId="0" fontId="2" numFmtId="9" xfId="0" applyFont="1" applyNumberFormat="1"/>
    <xf borderId="0" fillId="0" fontId="2" numFmtId="3" xfId="0" applyFont="1" applyNumberFormat="1"/>
    <xf borderId="0" fillId="0" fontId="2" numFmtId="165" xfId="0" applyFont="1" applyNumberFormat="1"/>
    <xf borderId="0" fillId="0" fontId="2" numFmtId="166" xfId="0" applyAlignment="1" applyFont="1" applyNumberFormat="1">
      <alignment horizontal="right"/>
    </xf>
    <xf borderId="3" fillId="0" fontId="2" numFmtId="9" xfId="0" applyBorder="1" applyFont="1" applyNumberFormat="1"/>
    <xf borderId="4" fillId="3" fontId="1" numFmtId="3" xfId="0" applyAlignment="1" applyBorder="1" applyFont="1" applyNumberFormat="1">
      <alignment horizontal="right" vertical="bottom"/>
    </xf>
    <xf borderId="4" fillId="3" fontId="1" numFmtId="4" xfId="0" applyAlignment="1" applyBorder="1" applyFont="1" applyNumberFormat="1">
      <alignment horizontal="right" vertical="bottom"/>
    </xf>
    <xf borderId="5" fillId="3" fontId="1" numFmtId="4" xfId="0" applyAlignment="1" applyBorder="1" applyFont="1" applyNumberFormat="1">
      <alignment horizontal="right" vertical="bottom"/>
    </xf>
    <xf borderId="6" fillId="3" fontId="1" numFmtId="3" xfId="0" applyAlignment="1" applyBorder="1" applyFont="1" applyNumberFormat="1">
      <alignment horizontal="right" vertical="bottom"/>
    </xf>
    <xf borderId="6" fillId="3" fontId="1" numFmtId="4" xfId="0" applyAlignment="1" applyBorder="1" applyFont="1" applyNumberFormat="1">
      <alignment horizontal="right" vertical="bottom"/>
    </xf>
    <xf borderId="7" fillId="3" fontId="1" numFmtId="4" xfId="0" applyAlignment="1" applyBorder="1" applyFont="1" applyNumberFormat="1">
      <alignment horizontal="right" vertical="bottom"/>
    </xf>
    <xf borderId="8" fillId="0" fontId="1" numFmtId="164" xfId="0" applyBorder="1" applyFont="1" applyNumberFormat="1"/>
    <xf borderId="9" fillId="0" fontId="1" numFmtId="9" xfId="0" applyBorder="1" applyFont="1" applyNumberFormat="1"/>
    <xf borderId="9" fillId="0" fontId="2" numFmtId="9" xfId="0" applyBorder="1" applyFont="1" applyNumberFormat="1"/>
    <xf borderId="9" fillId="0" fontId="2" numFmtId="3" xfId="0" applyBorder="1" applyFont="1" applyNumberFormat="1"/>
    <xf borderId="9" fillId="0" fontId="2" numFmtId="165" xfId="0" applyBorder="1" applyFont="1" applyNumberFormat="1"/>
    <xf borderId="9" fillId="0" fontId="2" numFmtId="166" xfId="0" applyAlignment="1" applyBorder="1" applyFont="1" applyNumberFormat="1">
      <alignment horizontal="right"/>
    </xf>
    <xf borderId="10" fillId="0" fontId="2" numFmtId="9" xfId="0" applyBorder="1" applyFont="1" applyNumberFormat="1"/>
    <xf borderId="0" fillId="2" fontId="3" numFmtId="4" xfId="0" applyAlignment="1" applyFont="1" applyNumberFormat="1">
      <alignment vertical="bottom"/>
    </xf>
    <xf borderId="11" fillId="3" fontId="3" numFmtId="4" xfId="0" applyAlignment="1" applyBorder="1" applyFont="1" applyNumberFormat="1">
      <alignment vertical="bottom"/>
    </xf>
    <xf borderId="11" fillId="3" fontId="1" numFmtId="4" xfId="0" applyAlignment="1" applyBorder="1" applyFont="1" applyNumberFormat="1">
      <alignment horizontal="right" vertical="bottom"/>
    </xf>
    <xf borderId="12" fillId="3" fontId="1" numFmtId="4" xfId="0" applyAlignment="1" applyBorder="1" applyFont="1" applyNumberFormat="1">
      <alignment horizontal="right" vertical="bottom"/>
    </xf>
    <xf borderId="0" fillId="0" fontId="1" numFmtId="164" xfId="0" applyFont="1" applyNumberFormat="1"/>
    <xf borderId="0" fillId="0" fontId="1" numFmtId="0" xfId="0" applyAlignment="1" applyFont="1">
      <alignment vertical="bottom"/>
    </xf>
    <xf borderId="6" fillId="0" fontId="1" numFmtId="0" xfId="0" applyAlignment="1" applyBorder="1" applyFont="1">
      <alignment vertical="bottom"/>
    </xf>
    <xf borderId="6" fillId="0" fontId="3" numFmtId="0" xfId="0" applyAlignment="1" applyBorder="1" applyFont="1">
      <alignment vertical="bottom"/>
    </xf>
    <xf borderId="0" fillId="0" fontId="2" numFmtId="0" xfId="0" applyAlignment="1" applyFont="1">
      <alignment readingOrder="0"/>
    </xf>
    <xf borderId="13" fillId="4" fontId="4" numFmtId="0" xfId="0" applyAlignment="1" applyBorder="1" applyFill="1" applyFont="1">
      <alignment readingOrder="0"/>
    </xf>
    <xf borderId="14" fillId="0" fontId="5" numFmtId="0" xfId="0" applyBorder="1" applyFont="1"/>
    <xf borderId="14" fillId="0" fontId="2" numFmtId="0" xfId="0" applyBorder="1" applyFont="1"/>
    <xf borderId="15" fillId="0" fontId="2" numFmtId="0" xfId="0" applyBorder="1" applyFont="1"/>
    <xf borderId="13" fillId="5" fontId="4" numFmtId="0" xfId="0" applyAlignment="1" applyBorder="1" applyFill="1" applyFont="1">
      <alignment readingOrder="0"/>
    </xf>
    <xf borderId="14" fillId="5" fontId="2" numFmtId="0" xfId="0" applyBorder="1" applyFont="1"/>
    <xf borderId="15" fillId="5" fontId="2" numFmtId="0" xfId="0" applyBorder="1" applyFont="1"/>
    <xf borderId="2" fillId="0" fontId="6" numFmtId="0" xfId="0" applyAlignment="1" applyBorder="1" applyFont="1">
      <alignment readingOrder="0" shrinkToFit="0" wrapText="1"/>
    </xf>
    <xf borderId="3" fillId="0" fontId="5" numFmtId="0" xfId="0" applyBorder="1" applyFont="1"/>
    <xf borderId="3" fillId="0" fontId="2" numFmtId="0" xfId="0" applyBorder="1" applyFont="1"/>
    <xf borderId="8" fillId="0" fontId="6" numFmtId="0" xfId="0" applyAlignment="1" applyBorder="1" applyFont="1">
      <alignment readingOrder="0" shrinkToFit="0" wrapText="1"/>
    </xf>
    <xf borderId="9" fillId="0" fontId="5" numFmtId="0" xfId="0" applyBorder="1" applyFont="1"/>
    <xf borderId="10" fillId="0" fontId="5" numFmtId="0" xfId="0" applyBorder="1" applyFont="1"/>
    <xf borderId="0" fillId="0" fontId="7" numFmtId="0" xfId="0" applyAlignment="1" applyFont="1">
      <alignment shrinkToFit="0" wrapText="1"/>
    </xf>
    <xf borderId="2" fillId="0" fontId="5" numFmtId="0" xfId="0" applyBorder="1" applyFont="1"/>
    <xf borderId="8" fillId="0" fontId="5" numFmtId="0" xfId="0" applyBorder="1" applyFont="1"/>
    <xf borderId="9" fillId="0" fontId="2" numFmtId="0" xfId="0" applyBorder="1" applyFont="1"/>
    <xf borderId="10" fillId="0" fontId="2" numFmtId="0" xfId="0" applyBorder="1" applyFont="1"/>
    <xf borderId="6" fillId="3" fontId="1" numFmtId="0" xfId="0" applyAlignment="1" applyBorder="1" applyFont="1">
      <alignment horizontal="right" shrinkToFit="0" vertical="bottom" wrapText="1"/>
    </xf>
    <xf borderId="0" fillId="0" fontId="4" numFmtId="0" xfId="0" applyAlignment="1" applyFont="1">
      <alignment readingOrder="0"/>
    </xf>
    <xf borderId="16" fillId="3" fontId="1" numFmtId="0" xfId="0" applyAlignment="1" applyBorder="1" applyFont="1">
      <alignment horizontal="right" vertical="bottom"/>
    </xf>
    <xf borderId="16" fillId="3" fontId="1" numFmtId="3" xfId="0" applyAlignment="1" applyBorder="1" applyFont="1" applyNumberFormat="1">
      <alignment horizontal="right" vertical="bottom"/>
    </xf>
    <xf borderId="0" fillId="0" fontId="2" numFmtId="10" xfId="0" applyFont="1" applyNumberFormat="1"/>
    <xf borderId="0" fillId="0" fontId="2" numFmtId="0" xfId="0" applyAlignment="1" applyFont="1">
      <alignment readingOrder="0" shrinkToFit="0" wrapText="1"/>
    </xf>
    <xf borderId="0" fillId="0" fontId="2" numFmtId="0" xfId="0" applyAlignment="1" applyFont="1">
      <alignment shrinkToFit="0" wrapText="1"/>
    </xf>
    <xf borderId="6" fillId="3" fontId="1" numFmtId="0" xfId="0" applyAlignment="1" applyBorder="1" applyFont="1">
      <alignment horizontal="right" vertical="bottom"/>
    </xf>
    <xf borderId="11" fillId="3" fontId="1" numFmtId="0" xfId="0" applyAlignment="1" applyBorder="1" applyFont="1">
      <alignment horizontal="right" vertical="bottom"/>
    </xf>
    <xf borderId="11" fillId="3" fontId="1" numFmtId="3" xfId="0" applyAlignment="1" applyBorder="1" applyFont="1" applyNumberFormat="1">
      <alignment horizontal="right" vertical="bottom"/>
    </xf>
    <xf borderId="14" fillId="4" fontId="2" numFmtId="0" xfId="0" applyBorder="1" applyFont="1"/>
    <xf borderId="2" fillId="0" fontId="2" numFmtId="0" xfId="0" applyBorder="1" applyFont="1"/>
    <xf borderId="2" fillId="0" fontId="4" numFmtId="0" xfId="0" applyAlignment="1" applyBorder="1" applyFont="1">
      <alignment readingOrder="0"/>
    </xf>
    <xf borderId="0" fillId="2" fontId="8" numFmtId="0" xfId="0" applyAlignment="1" applyFont="1">
      <alignment readingOrder="0"/>
    </xf>
    <xf borderId="0" fillId="0" fontId="3" numFmtId="0" xfId="0" applyAlignment="1" applyFont="1">
      <alignment vertical="bottom"/>
    </xf>
    <xf borderId="0" fillId="0" fontId="3" numFmtId="4" xfId="0" applyAlignment="1" applyFont="1" applyNumberFormat="1">
      <alignment vertical="bottom"/>
    </xf>
    <xf borderId="0" fillId="0" fontId="9" numFmtId="0" xfId="0" applyAlignment="1" applyFont="1">
      <alignment horizontal="center" vertical="bottom"/>
    </xf>
    <xf borderId="6" fillId="3" fontId="1" numFmtId="4" xfId="0" applyAlignment="1" applyBorder="1" applyFont="1" applyNumberFormat="1">
      <alignment horizontal="right" shrinkToFit="0" vertical="bottom" wrapText="1"/>
    </xf>
    <xf borderId="6" fillId="3" fontId="3" numFmtId="0" xfId="0" applyAlignment="1" applyBorder="1" applyFont="1">
      <alignment vertical="bottom"/>
    </xf>
    <xf borderId="6" fillId="3" fontId="3" numFmtId="3" xfId="0" applyAlignment="1" applyBorder="1" applyFont="1" applyNumberFormat="1">
      <alignment vertical="bottom"/>
    </xf>
    <xf borderId="17" fillId="0" fontId="1" numFmtId="0" xfId="0" applyAlignment="1" applyBorder="1" applyFont="1">
      <alignment shrinkToFit="0" vertical="bottom" wrapText="1"/>
    </xf>
    <xf borderId="18" fillId="0" fontId="1" numFmtId="0" xfId="0" applyAlignment="1" applyBorder="1" applyFont="1">
      <alignment shrinkToFit="0" vertical="bottom" wrapText="1"/>
    </xf>
    <xf borderId="19" fillId="0" fontId="1" numFmtId="0" xfId="0" applyAlignment="1" applyBorder="1" applyFont="1">
      <alignment shrinkToFit="0" vertical="bottom" wrapText="1"/>
    </xf>
    <xf borderId="20" fillId="2" fontId="1" numFmtId="0" xfId="0" applyAlignment="1" applyBorder="1" applyFont="1">
      <alignment horizontal="right" shrinkToFit="0" vertical="bottom" wrapText="1"/>
    </xf>
    <xf borderId="21" fillId="2" fontId="1" numFmtId="0" xfId="0" applyAlignment="1" applyBorder="1" applyFont="1">
      <alignment horizontal="right" shrinkToFit="0" vertical="bottom" wrapText="1"/>
    </xf>
    <xf borderId="17" fillId="2" fontId="1" numFmtId="0" xfId="0" applyAlignment="1" applyBorder="1" applyFont="1">
      <alignment horizontal="right" shrinkToFit="0" vertical="bottom" wrapText="1"/>
    </xf>
    <xf borderId="18" fillId="2" fontId="1" numFmtId="0" xfId="0" applyAlignment="1" applyBorder="1" applyFont="1">
      <alignment horizontal="right" shrinkToFit="0" vertical="bottom" wrapText="1"/>
    </xf>
    <xf borderId="2" fillId="0" fontId="1" numFmtId="0" xfId="0" applyAlignment="1" applyBorder="1" applyFont="1">
      <alignment horizontal="right" vertical="bottom"/>
    </xf>
    <xf borderId="0" fillId="0" fontId="1" numFmtId="167" xfId="0" applyAlignment="1" applyFont="1" applyNumberFormat="1">
      <alignment horizontal="right" vertical="bottom"/>
    </xf>
    <xf borderId="0" fillId="0" fontId="1" numFmtId="9" xfId="0" applyAlignment="1" applyFont="1" applyNumberFormat="1">
      <alignment horizontal="right" vertical="bottom"/>
    </xf>
    <xf borderId="0" fillId="0" fontId="1" numFmtId="1" xfId="0" applyAlignment="1" applyFont="1" applyNumberFormat="1">
      <alignment horizontal="right" vertical="bottom"/>
    </xf>
    <xf borderId="0" fillId="0" fontId="1" numFmtId="165" xfId="0" applyAlignment="1" applyFont="1" applyNumberFormat="1">
      <alignment horizontal="right" vertical="bottom"/>
    </xf>
    <xf borderId="3" fillId="0" fontId="1" numFmtId="1" xfId="0" applyAlignment="1" applyBorder="1" applyFont="1" applyNumberFormat="1">
      <alignment horizontal="right" vertical="bottom"/>
    </xf>
    <xf borderId="22" fillId="2" fontId="3" numFmtId="0" xfId="0" applyAlignment="1" applyBorder="1" applyFont="1">
      <alignment vertical="bottom"/>
    </xf>
    <xf borderId="4" fillId="2" fontId="3" numFmtId="3" xfId="0" applyAlignment="1" applyBorder="1" applyFont="1" applyNumberFormat="1">
      <alignment vertical="bottom"/>
    </xf>
    <xf borderId="4" fillId="2" fontId="1" numFmtId="3" xfId="0" applyAlignment="1" applyBorder="1" applyFont="1" applyNumberFormat="1">
      <alignment horizontal="right" vertical="bottom"/>
    </xf>
    <xf borderId="0" fillId="0" fontId="3" numFmtId="9" xfId="0" applyAlignment="1" applyFont="1" applyNumberFormat="1">
      <alignment vertical="bottom"/>
    </xf>
    <xf borderId="0" fillId="0" fontId="3" numFmtId="165" xfId="0" applyAlignment="1" applyFont="1" applyNumberFormat="1">
      <alignment vertical="bottom"/>
    </xf>
    <xf borderId="3" fillId="0" fontId="3" numFmtId="165" xfId="0" applyAlignment="1" applyBorder="1" applyFont="1" applyNumberFormat="1">
      <alignment vertical="bottom"/>
    </xf>
    <xf borderId="23" fillId="2" fontId="1" numFmtId="0" xfId="0" applyAlignment="1" applyBorder="1" applyFont="1">
      <alignment horizontal="right" vertical="bottom"/>
    </xf>
    <xf borderId="6" fillId="2" fontId="1" numFmtId="3" xfId="0" applyAlignment="1" applyBorder="1" applyFont="1" applyNumberFormat="1">
      <alignment horizontal="right" vertical="bottom"/>
    </xf>
    <xf borderId="23" fillId="2" fontId="3" numFmtId="0" xfId="0" applyAlignment="1" applyBorder="1" applyFont="1">
      <alignment vertical="bottom"/>
    </xf>
    <xf borderId="6" fillId="2" fontId="3" numFmtId="3" xfId="0" applyAlignment="1" applyBorder="1" applyFont="1" applyNumberFormat="1">
      <alignment vertical="bottom"/>
    </xf>
    <xf borderId="3" fillId="0" fontId="2" numFmtId="165" xfId="0" applyBorder="1" applyFont="1" applyNumberFormat="1"/>
    <xf borderId="0" fillId="0" fontId="2" numFmtId="1" xfId="0" applyFont="1" applyNumberFormat="1"/>
    <xf borderId="2" fillId="0" fontId="10" numFmtId="0" xfId="0" applyAlignment="1" applyBorder="1" applyFont="1">
      <alignment horizontal="right" readingOrder="0" vertical="bottom"/>
    </xf>
    <xf borderId="8" fillId="0" fontId="1" numFmtId="0" xfId="0" applyAlignment="1" applyBorder="1" applyFont="1">
      <alignment horizontal="right" vertical="bottom"/>
    </xf>
    <xf borderId="9" fillId="0" fontId="1" numFmtId="167" xfId="0" applyAlignment="1" applyBorder="1" applyFont="1" applyNumberFormat="1">
      <alignment horizontal="right" vertical="bottom"/>
    </xf>
    <xf borderId="9" fillId="0" fontId="1" numFmtId="9" xfId="0" applyAlignment="1" applyBorder="1" applyFont="1" applyNumberFormat="1">
      <alignment horizontal="right" vertical="bottom"/>
    </xf>
    <xf borderId="9" fillId="0" fontId="1" numFmtId="1" xfId="0" applyAlignment="1" applyBorder="1" applyFont="1" applyNumberFormat="1">
      <alignment horizontal="right" vertical="bottom"/>
    </xf>
    <xf borderId="9" fillId="0" fontId="1" numFmtId="165" xfId="0" applyAlignment="1" applyBorder="1" applyFont="1" applyNumberFormat="1">
      <alignment horizontal="right" vertical="bottom"/>
    </xf>
    <xf borderId="10" fillId="0" fontId="1" numFmtId="1" xfId="0" applyAlignment="1" applyBorder="1" applyFont="1" applyNumberFormat="1">
      <alignment horizontal="right" vertical="bottom"/>
    </xf>
    <xf borderId="24" fillId="2" fontId="1" numFmtId="0" xfId="0" applyAlignment="1" applyBorder="1" applyFont="1">
      <alignment horizontal="right" vertical="bottom"/>
    </xf>
    <xf borderId="25" fillId="2" fontId="1" numFmtId="3" xfId="0" applyAlignment="1" applyBorder="1" applyFont="1" applyNumberFormat="1">
      <alignment horizontal="right" vertical="bottom"/>
    </xf>
    <xf borderId="9" fillId="0" fontId="2" numFmtId="1" xfId="0" applyBorder="1" applyFont="1" applyNumberFormat="1"/>
    <xf borderId="10" fillId="0" fontId="2" numFmtId="165" xfId="0" applyBorder="1" applyFont="1" applyNumberFormat="1"/>
    <xf borderId="0" fillId="0" fontId="1" numFmtId="0" xfId="0" applyAlignment="1" applyFont="1">
      <alignment horizontal="center" vertical="bottom"/>
    </xf>
    <xf borderId="17" fillId="0" fontId="1" numFmtId="0" xfId="0" applyAlignment="1" applyBorder="1" applyFont="1">
      <alignment horizontal="center" vertical="bottom"/>
    </xf>
    <xf borderId="18" fillId="0" fontId="1" numFmtId="0" xfId="0" applyAlignment="1" applyBorder="1" applyFont="1">
      <alignment horizontal="right" vertical="bottom"/>
    </xf>
    <xf borderId="19" fillId="0" fontId="1" numFmtId="0" xfId="0" applyAlignment="1" applyBorder="1" applyFont="1">
      <alignment horizontal="right" vertical="bottom"/>
    </xf>
    <xf borderId="2" fillId="0" fontId="1" numFmtId="0" xfId="0" applyAlignment="1" applyBorder="1" applyFont="1">
      <alignment horizontal="center" vertical="bottom"/>
    </xf>
    <xf borderId="0" fillId="0" fontId="3" numFmtId="1" xfId="0" applyAlignment="1" applyFont="1" applyNumberFormat="1">
      <alignment vertical="bottom"/>
    </xf>
    <xf borderId="3" fillId="0" fontId="3" numFmtId="1" xfId="0" applyAlignment="1" applyBorder="1" applyFont="1" applyNumberFormat="1">
      <alignment vertical="bottom"/>
    </xf>
    <xf borderId="2" fillId="0" fontId="11" numFmtId="0" xfId="0" applyAlignment="1" applyBorder="1" applyFont="1">
      <alignment horizontal="center" vertical="bottom"/>
    </xf>
    <xf borderId="8" fillId="0" fontId="1" numFmtId="0" xfId="0" applyAlignment="1" applyBorder="1" applyFont="1">
      <alignment horizontal="center" vertical="bottom"/>
    </xf>
    <xf borderId="13" fillId="0" fontId="7" numFmtId="0" xfId="0" applyAlignment="1" applyBorder="1" applyFont="1">
      <alignment readingOrder="0" shrinkToFit="0" wrapText="1"/>
    </xf>
    <xf borderId="15" fillId="0" fontId="5" numFmtId="0" xfId="0" applyBorder="1" applyFont="1"/>
    <xf borderId="13" fillId="4" fontId="12" numFmtId="0" xfId="0" applyAlignment="1" applyBorder="1" applyFont="1">
      <alignment readingOrder="0"/>
    </xf>
    <xf borderId="14" fillId="4" fontId="13" numFmtId="0" xfId="0" applyBorder="1" applyFont="1"/>
    <xf borderId="2" fillId="0" fontId="6" numFmtId="0" xfId="0" applyAlignment="1" applyBorder="1" applyFont="1">
      <alignment readingOrder="0"/>
    </xf>
    <xf borderId="0" fillId="0" fontId="6" numFmtId="0" xfId="0" applyFont="1"/>
    <xf borderId="3" fillId="0" fontId="6" numFmtId="0" xfId="0" applyBorder="1" applyFont="1"/>
    <xf borderId="2" fillId="0" fontId="6" numFmtId="0" xfId="0" applyBorder="1" applyFont="1"/>
    <xf borderId="2" fillId="2" fontId="14" numFmtId="0" xfId="0" applyAlignment="1" applyBorder="1" applyFont="1">
      <alignment readingOrder="0" shrinkToFit="0" wrapText="1"/>
    </xf>
    <xf borderId="0" fillId="0" fontId="6" numFmtId="0" xfId="0" applyAlignment="1" applyFont="1">
      <alignment shrinkToFit="0" wrapText="1"/>
    </xf>
    <xf borderId="2" fillId="0" fontId="6" numFmtId="0" xfId="0" applyAlignment="1" applyBorder="1" applyFont="1">
      <alignment shrinkToFit="0" wrapText="1"/>
    </xf>
    <xf borderId="6" fillId="3" fontId="15" numFmtId="0" xfId="0" applyAlignment="1" applyBorder="1" applyFont="1">
      <alignment vertical="bottom"/>
    </xf>
    <xf borderId="0" fillId="2" fontId="12" numFmtId="0" xfId="0" applyAlignment="1" applyFont="1">
      <alignment readingOrder="0"/>
    </xf>
    <xf borderId="15" fillId="4" fontId="2" numFmtId="0" xfId="0" applyBorder="1" applyFont="1"/>
    <xf borderId="26" fillId="3" fontId="1" numFmtId="0" xfId="0" applyAlignment="1" applyBorder="1" applyFont="1">
      <alignment horizontal="right" vertical="bottom"/>
    </xf>
    <xf borderId="0" fillId="0" fontId="6" numFmtId="0" xfId="0" applyAlignment="1" applyFont="1">
      <alignment readingOrder="0" shrinkToFit="0" wrapText="1"/>
    </xf>
    <xf borderId="0" fillId="2" fontId="4" numFmtId="0" xfId="0" applyAlignment="1" applyFont="1">
      <alignment readingOrder="0"/>
    </xf>
    <xf borderId="0" fillId="2" fontId="6" numFmtId="0" xfId="0" applyAlignment="1" applyFont="1">
      <alignment readingOrder="0"/>
    </xf>
    <xf borderId="2" fillId="0" fontId="6" numFmtId="0" xfId="0" applyAlignment="1" applyBorder="1" applyFont="1">
      <alignment horizontal="left" readingOrder="0" shrinkToFit="0" wrapText="1"/>
    </xf>
    <xf borderId="0" fillId="2" fontId="6" numFmtId="0" xfId="0" applyAlignment="1" applyFont="1">
      <alignment readingOrder="0" shrinkToFit="0" wrapText="1"/>
    </xf>
    <xf borderId="13" fillId="5" fontId="12" numFmtId="0" xfId="0" applyAlignment="1" applyBorder="1" applyFont="1">
      <alignment readingOrder="0"/>
    </xf>
    <xf borderId="14" fillId="5" fontId="4" numFmtId="0" xfId="0" applyBorder="1" applyFont="1"/>
    <xf borderId="15" fillId="5" fontId="4" numFmtId="0" xfId="0" applyBorder="1" applyFont="1"/>
    <xf borderId="0" fillId="0" fontId="6" numFmtId="0" xfId="0" applyAlignment="1" applyFont="1">
      <alignment readingOrder="0"/>
    </xf>
    <xf borderId="0" fillId="0" fontId="16" numFmtId="0" xfId="0" applyAlignment="1" applyFont="1">
      <alignment vertical="bottom"/>
    </xf>
    <xf borderId="0" fillId="0" fontId="17"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Average spending per customer</a:t>
            </a:r>
          </a:p>
        </c:rich>
      </c:tx>
      <c:overlay val="0"/>
    </c:title>
    <c:plotArea>
      <c:layout/>
      <c:barChart>
        <c:barDir val="col"/>
        <c:ser>
          <c:idx val="0"/>
          <c:order val="0"/>
          <c:tx>
            <c:strRef>
              <c:f>Deciles!$K$3</c:f>
            </c:strRef>
          </c:tx>
          <c:spPr>
            <a:solidFill>
              <a:schemeClr val="accent1"/>
            </a:solidFill>
            <a:ln cmpd="sng">
              <a:solidFill>
                <a:srgbClr val="000000"/>
              </a:solidFill>
            </a:ln>
          </c:spPr>
          <c:cat>
            <c:strRef>
              <c:f>Deciles!$B$4:$B$13</c:f>
            </c:strRef>
          </c:cat>
          <c:val>
            <c:numRef>
              <c:f>Deciles!$K$4:$K$13</c:f>
              <c:numCache/>
            </c:numRef>
          </c:val>
        </c:ser>
        <c:axId val="1730938491"/>
        <c:axId val="1587450369"/>
      </c:barChart>
      <c:catAx>
        <c:axId val="1730938491"/>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c:txPr>
          <a:bodyPr/>
          <a:lstStyle/>
          <a:p>
            <a:pPr lvl="0">
              <a:defRPr b="0">
                <a:solidFill>
                  <a:srgbClr val="000000"/>
                </a:solidFill>
                <a:latin typeface="+mn-lt"/>
              </a:defRPr>
            </a:pPr>
          </a:p>
        </c:txPr>
        <c:crossAx val="1587450369"/>
      </c:catAx>
      <c:valAx>
        <c:axId val="1587450369"/>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730938491"/>
      </c:valAx>
    </c:plotArea>
    <c:legend>
      <c:legendPos val="r"/>
      <c:overlay val="0"/>
      <c:txPr>
        <a:bodyPr/>
        <a:lstStyle/>
        <a:p>
          <a:pPr lvl="0">
            <a:defRPr b="0">
              <a:solidFill>
                <a:srgbClr val="1A1A1A"/>
              </a:solidFill>
              <a:latin typeface="+mn-lt"/>
            </a:defRPr>
          </a:pPr>
        </a:p>
      </c:txPr>
    </c:legend>
    <c:plotVisOnly val="1"/>
  </c:chart>
</c:chartSpace>
</file>

<file path=xl/charts/chart2.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Decomposition of Quarterly Spend												</a:t>
            </a:r>
          </a:p>
        </c:rich>
      </c:tx>
      <c:overlay val="0"/>
    </c:title>
    <c:plotArea>
      <c:layout/>
      <c:lineChart>
        <c:varyColors val="0"/>
        <c:ser>
          <c:idx val="0"/>
          <c:order val="0"/>
          <c:tx>
            <c:strRef>
              <c:f>Cohort!$F$1</c:f>
            </c:strRef>
          </c:tx>
          <c:spPr>
            <a:ln cmpd="sng">
              <a:solidFill>
                <a:srgbClr val="4285F4"/>
              </a:solidFill>
            </a:ln>
          </c:spPr>
          <c:marker>
            <c:symbol val="circle"/>
            <c:size val="10"/>
            <c:spPr>
              <a:solidFill>
                <a:srgbClr val="4285F4"/>
              </a:solidFill>
              <a:ln cmpd="sng">
                <a:solidFill>
                  <a:srgbClr val="4285F4"/>
                </a:solidFill>
              </a:ln>
            </c:spPr>
          </c:marker>
          <c:cat>
            <c:strRef>
              <c:f>Cohort!$A$2:$A$17</c:f>
            </c:strRef>
          </c:cat>
          <c:val>
            <c:numRef>
              <c:f>Cohort!$F$2:$F$17</c:f>
              <c:numCache/>
            </c:numRef>
          </c:val>
          <c:smooth val="0"/>
        </c:ser>
        <c:axId val="291652118"/>
        <c:axId val="933078097"/>
      </c:lineChart>
      <c:catAx>
        <c:axId val="291652118"/>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c:txPr>
          <a:bodyPr/>
          <a:lstStyle/>
          <a:p>
            <a:pPr lvl="0">
              <a:defRPr b="0">
                <a:solidFill>
                  <a:srgbClr val="000000"/>
                </a:solidFill>
                <a:latin typeface="+mn-lt"/>
              </a:defRPr>
            </a:pPr>
          </a:p>
        </c:txPr>
        <c:crossAx val="933078097"/>
      </c:catAx>
      <c:valAx>
        <c:axId val="933078097"/>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291652118"/>
      </c:valAx>
    </c:plotArea>
    <c:legend>
      <c:legendPos val="r"/>
      <c:overlay val="0"/>
      <c:txPr>
        <a:bodyPr/>
        <a:lstStyle/>
        <a:p>
          <a:pPr lvl="0">
            <a:defRPr b="0">
              <a:solidFill>
                <a:srgbClr val="1A1A1A"/>
              </a:solidFill>
              <a:latin typeface="+mn-lt"/>
            </a:defRPr>
          </a:pPr>
        </a:p>
      </c:txPr>
    </c:legend>
    <c:plotVisOnly val="1"/>
  </c:chart>
</c:chartSpace>
</file>

<file path=xl/charts/chart3.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Percentage of Active customers</a:t>
            </a:r>
          </a:p>
        </c:rich>
      </c:tx>
      <c:overlay val="0"/>
    </c:title>
    <c:plotArea>
      <c:layout/>
      <c:lineChart>
        <c:ser>
          <c:idx val="0"/>
          <c:order val="0"/>
          <c:tx>
            <c:strRef>
              <c:f>'3 Cohorts'!$B$39</c:f>
            </c:strRef>
          </c:tx>
          <c:spPr>
            <a:ln cmpd="sng">
              <a:solidFill>
                <a:srgbClr val="4285F4"/>
              </a:solidFill>
            </a:ln>
          </c:spPr>
          <c:marker>
            <c:symbol val="none"/>
          </c:marker>
          <c:cat>
            <c:strRef>
              <c:f>'3 Cohorts'!$A$40:$A$53</c:f>
            </c:strRef>
          </c:cat>
          <c:val>
            <c:numRef>
              <c:f>'3 Cohorts'!$B$40:$B$53</c:f>
              <c:numCache/>
            </c:numRef>
          </c:val>
          <c:smooth val="0"/>
        </c:ser>
        <c:ser>
          <c:idx val="1"/>
          <c:order val="1"/>
          <c:tx>
            <c:strRef>
              <c:f>'3 Cohorts'!$C$39</c:f>
            </c:strRef>
          </c:tx>
          <c:spPr>
            <a:ln cmpd="sng">
              <a:solidFill>
                <a:srgbClr val="EA4335"/>
              </a:solidFill>
            </a:ln>
          </c:spPr>
          <c:marker>
            <c:symbol val="none"/>
          </c:marker>
          <c:cat>
            <c:strRef>
              <c:f>'3 Cohorts'!$A$40:$A$53</c:f>
            </c:strRef>
          </c:cat>
          <c:val>
            <c:numRef>
              <c:f>'3 Cohorts'!$C$40:$C$53</c:f>
              <c:numCache/>
            </c:numRef>
          </c:val>
          <c:smooth val="0"/>
        </c:ser>
        <c:ser>
          <c:idx val="2"/>
          <c:order val="2"/>
          <c:tx>
            <c:strRef>
              <c:f>'3 Cohorts'!$D$39</c:f>
            </c:strRef>
          </c:tx>
          <c:spPr>
            <a:ln cmpd="sng">
              <a:solidFill>
                <a:srgbClr val="FBBC04"/>
              </a:solidFill>
            </a:ln>
          </c:spPr>
          <c:marker>
            <c:symbol val="none"/>
          </c:marker>
          <c:cat>
            <c:strRef>
              <c:f>'3 Cohorts'!$A$40:$A$53</c:f>
            </c:strRef>
          </c:cat>
          <c:val>
            <c:numRef>
              <c:f>'3 Cohorts'!$D$40:$D$53</c:f>
              <c:numCache/>
            </c:numRef>
          </c:val>
          <c:smooth val="0"/>
        </c:ser>
        <c:axId val="676304977"/>
        <c:axId val="465605278"/>
      </c:lineChart>
      <c:catAx>
        <c:axId val="676304977"/>
        <c:scaling>
          <c:orientation val="minMax"/>
        </c:scaling>
        <c:delete val="0"/>
        <c:axPos val="b"/>
        <c:title>
          <c:tx>
            <c:rich>
              <a:bodyPr/>
              <a:lstStyle/>
              <a:p>
                <a:pPr lvl="0">
                  <a:defRPr b="0">
                    <a:solidFill>
                      <a:srgbClr val="000000"/>
                    </a:solidFill>
                    <a:latin typeface="+mn-lt"/>
                  </a:defRPr>
                </a:pPr>
                <a:r>
                  <a:rPr b="0">
                    <a:solidFill>
                      <a:srgbClr val="000000"/>
                    </a:solidFill>
                    <a:latin typeface="+mn-lt"/>
                  </a:rPr>
                  <a:t>Quarter</a:t>
                </a:r>
              </a:p>
            </c:rich>
          </c:tx>
          <c:overlay val="0"/>
        </c:title>
        <c:numFmt formatCode="General" sourceLinked="1"/>
        <c:majorTickMark val="none"/>
        <c:minorTickMark val="none"/>
        <c:spPr/>
        <c:txPr>
          <a:bodyPr/>
          <a:lstStyle/>
          <a:p>
            <a:pPr lvl="0">
              <a:defRPr b="0">
                <a:solidFill>
                  <a:srgbClr val="000000"/>
                </a:solidFill>
                <a:latin typeface="+mn-lt"/>
              </a:defRPr>
            </a:pPr>
          </a:p>
        </c:txPr>
        <c:crossAx val="465605278"/>
      </c:catAx>
      <c:valAx>
        <c:axId val="465605278"/>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676304977"/>
      </c:valAx>
    </c:plotArea>
    <c:legend>
      <c:legendPos val="r"/>
      <c:overlay val="0"/>
      <c:txPr>
        <a:bodyPr/>
        <a:lstStyle/>
        <a:p>
          <a:pPr lvl="0">
            <a:defRPr b="0">
              <a:solidFill>
                <a:srgbClr val="1A1A1A"/>
              </a:solidFill>
              <a:latin typeface="+mn-lt"/>
            </a:defRPr>
          </a:pPr>
        </a:p>
      </c:txPr>
    </c:legend>
    <c:plotVisOnly val="1"/>
  </c:chart>
</c:chartSpace>
</file>

<file path=xl/charts/chart4.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Avg spend/active customer</a:t>
            </a:r>
          </a:p>
        </c:rich>
      </c:tx>
      <c:overlay val="0"/>
    </c:title>
    <c:plotArea>
      <c:layout/>
      <c:lineChart>
        <c:ser>
          <c:idx val="0"/>
          <c:order val="0"/>
          <c:tx>
            <c:strRef>
              <c:f>'3 Cohorts'!$E$39</c:f>
            </c:strRef>
          </c:tx>
          <c:spPr>
            <a:ln cmpd="sng">
              <a:solidFill>
                <a:srgbClr val="4285F4"/>
              </a:solidFill>
            </a:ln>
          </c:spPr>
          <c:marker>
            <c:symbol val="none"/>
          </c:marker>
          <c:cat>
            <c:strRef>
              <c:f>'3 Cohorts'!$A$40:$A$53</c:f>
            </c:strRef>
          </c:cat>
          <c:val>
            <c:numRef>
              <c:f>'3 Cohorts'!$E$40:$E$53</c:f>
              <c:numCache/>
            </c:numRef>
          </c:val>
          <c:smooth val="0"/>
        </c:ser>
        <c:ser>
          <c:idx val="1"/>
          <c:order val="1"/>
          <c:tx>
            <c:strRef>
              <c:f>'3 Cohorts'!$F$39</c:f>
            </c:strRef>
          </c:tx>
          <c:spPr>
            <a:ln cmpd="sng">
              <a:solidFill>
                <a:srgbClr val="EA4335"/>
              </a:solidFill>
            </a:ln>
          </c:spPr>
          <c:marker>
            <c:symbol val="none"/>
          </c:marker>
          <c:cat>
            <c:strRef>
              <c:f>'3 Cohorts'!$A$40:$A$53</c:f>
            </c:strRef>
          </c:cat>
          <c:val>
            <c:numRef>
              <c:f>'3 Cohorts'!$F$40:$F$53</c:f>
              <c:numCache/>
            </c:numRef>
          </c:val>
          <c:smooth val="0"/>
        </c:ser>
        <c:ser>
          <c:idx val="2"/>
          <c:order val="2"/>
          <c:tx>
            <c:strRef>
              <c:f>'3 Cohorts'!$G$39</c:f>
            </c:strRef>
          </c:tx>
          <c:spPr>
            <a:ln cmpd="sng">
              <a:solidFill>
                <a:srgbClr val="FBBC04"/>
              </a:solidFill>
            </a:ln>
          </c:spPr>
          <c:marker>
            <c:symbol val="none"/>
          </c:marker>
          <c:cat>
            <c:strRef>
              <c:f>'3 Cohorts'!$A$40:$A$53</c:f>
            </c:strRef>
          </c:cat>
          <c:val>
            <c:numRef>
              <c:f>'3 Cohorts'!$G$40:$G$53</c:f>
              <c:numCache/>
            </c:numRef>
          </c:val>
          <c:smooth val="0"/>
        </c:ser>
        <c:axId val="2146059392"/>
        <c:axId val="459081455"/>
      </c:lineChart>
      <c:catAx>
        <c:axId val="2146059392"/>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c:txPr>
          <a:bodyPr/>
          <a:lstStyle/>
          <a:p>
            <a:pPr lvl="0">
              <a:defRPr b="0">
                <a:solidFill>
                  <a:srgbClr val="000000"/>
                </a:solidFill>
                <a:latin typeface="+mn-lt"/>
              </a:defRPr>
            </a:pPr>
          </a:p>
        </c:txPr>
        <c:crossAx val="459081455"/>
      </c:catAx>
      <c:valAx>
        <c:axId val="459081455"/>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2146059392"/>
      </c:valAx>
    </c:plotArea>
    <c:legend>
      <c:legendPos val="r"/>
      <c:overlay val="0"/>
      <c:txPr>
        <a:bodyPr/>
        <a:lstStyle/>
        <a:p>
          <a:pPr lvl="0">
            <a:defRPr b="0">
              <a:solidFill>
                <a:srgbClr val="1A1A1A"/>
              </a:solidFill>
              <a:latin typeface="+mn-lt"/>
            </a:defRPr>
          </a:pPr>
        </a:p>
      </c:txPr>
    </c:legend>
    <c:plotVisOnly val="1"/>
  </c:chart>
</c:chartSpace>
</file>

<file path=xl/charts/chart5.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AOV</a:t>
            </a:r>
          </a:p>
        </c:rich>
      </c:tx>
      <c:overlay val="0"/>
    </c:title>
    <c:plotArea>
      <c:layout/>
      <c:lineChart>
        <c:ser>
          <c:idx val="0"/>
          <c:order val="0"/>
          <c:tx>
            <c:strRef>
              <c:f>'3 Cohorts'!$H$39</c:f>
            </c:strRef>
          </c:tx>
          <c:spPr>
            <a:ln cmpd="sng">
              <a:solidFill>
                <a:srgbClr val="4285F4"/>
              </a:solidFill>
            </a:ln>
          </c:spPr>
          <c:marker>
            <c:symbol val="none"/>
          </c:marker>
          <c:cat>
            <c:strRef>
              <c:f>'3 Cohorts'!$A$40:$A$53</c:f>
            </c:strRef>
          </c:cat>
          <c:val>
            <c:numRef>
              <c:f>'3 Cohorts'!$H$40:$H$53</c:f>
              <c:numCache/>
            </c:numRef>
          </c:val>
          <c:smooth val="0"/>
        </c:ser>
        <c:ser>
          <c:idx val="1"/>
          <c:order val="1"/>
          <c:tx>
            <c:strRef>
              <c:f>'3 Cohorts'!$I$39</c:f>
            </c:strRef>
          </c:tx>
          <c:spPr>
            <a:ln cmpd="sng">
              <a:solidFill>
                <a:srgbClr val="EA4335"/>
              </a:solidFill>
            </a:ln>
          </c:spPr>
          <c:marker>
            <c:symbol val="none"/>
          </c:marker>
          <c:cat>
            <c:strRef>
              <c:f>'3 Cohorts'!$A$40:$A$53</c:f>
            </c:strRef>
          </c:cat>
          <c:val>
            <c:numRef>
              <c:f>'3 Cohorts'!$I$40:$I$53</c:f>
              <c:numCache/>
            </c:numRef>
          </c:val>
          <c:smooth val="0"/>
        </c:ser>
        <c:ser>
          <c:idx val="2"/>
          <c:order val="2"/>
          <c:tx>
            <c:strRef>
              <c:f>'3 Cohorts'!$J$39</c:f>
            </c:strRef>
          </c:tx>
          <c:spPr>
            <a:ln cmpd="sng">
              <a:solidFill>
                <a:srgbClr val="FBBC04"/>
              </a:solidFill>
            </a:ln>
          </c:spPr>
          <c:marker>
            <c:symbol val="none"/>
          </c:marker>
          <c:cat>
            <c:strRef>
              <c:f>'3 Cohorts'!$A$40:$A$53</c:f>
            </c:strRef>
          </c:cat>
          <c:val>
            <c:numRef>
              <c:f>'3 Cohorts'!$J$40:$J$53</c:f>
              <c:numCache/>
            </c:numRef>
          </c:val>
          <c:smooth val="0"/>
        </c:ser>
        <c:axId val="530146786"/>
        <c:axId val="340188485"/>
      </c:lineChart>
      <c:catAx>
        <c:axId val="530146786"/>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c:txPr>
          <a:bodyPr/>
          <a:lstStyle/>
          <a:p>
            <a:pPr lvl="0">
              <a:defRPr b="0">
                <a:solidFill>
                  <a:srgbClr val="000000"/>
                </a:solidFill>
                <a:latin typeface="+mn-lt"/>
              </a:defRPr>
            </a:pPr>
          </a:p>
        </c:txPr>
        <c:crossAx val="340188485"/>
      </c:catAx>
      <c:valAx>
        <c:axId val="340188485"/>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530146786"/>
      </c:valAx>
    </c:plotArea>
    <c:legend>
      <c:legendPos val="r"/>
      <c:overlay val="0"/>
      <c:txPr>
        <a:bodyPr/>
        <a:lstStyle/>
        <a:p>
          <a:pPr lvl="0">
            <a:defRPr b="0">
              <a:solidFill>
                <a:srgbClr val="1A1A1A"/>
              </a:solidFill>
              <a:latin typeface="+mn-lt"/>
            </a:defRPr>
          </a:pPr>
        </a:p>
      </c:txPr>
    </c:legend>
    <c:plotVisOnly val="1"/>
  </c:chart>
</c:chartSpace>
</file>

<file path=xl/charts/chart6.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a:solidFill>
                  <a:srgbClr val="757575"/>
                </a:solidFill>
                <a:latin typeface="+mn-lt"/>
              </a:defRPr>
            </a:pPr>
            <a:r>
              <a:rPr b="1">
                <a:solidFill>
                  <a:srgbClr val="757575"/>
                </a:solidFill>
                <a:latin typeface="+mn-lt"/>
              </a:rPr>
              <a:t>Profit Contribution by Customer Decile</a:t>
            </a:r>
          </a:p>
        </c:rich>
      </c:tx>
      <c:overlay val="0"/>
    </c:title>
    <c:plotArea>
      <c:layout/>
      <c:barChart>
        <c:barDir val="col"/>
        <c:ser>
          <c:idx val="0"/>
          <c:order val="0"/>
          <c:tx>
            <c:strRef>
              <c:f>Deciles!$J$3</c:f>
            </c:strRef>
          </c:tx>
          <c:spPr>
            <a:solidFill>
              <a:schemeClr val="accent1"/>
            </a:solidFill>
            <a:ln cmpd="sng">
              <a:solidFill>
                <a:srgbClr val="000000"/>
              </a:solidFill>
            </a:ln>
          </c:spPr>
          <c:cat>
            <c:strRef>
              <c:f>Deciles!$B$4:$B$15</c:f>
            </c:strRef>
          </c:cat>
          <c:val>
            <c:numRef>
              <c:f>Deciles!$J$4:$J$13</c:f>
              <c:numCache/>
            </c:numRef>
          </c:val>
        </c:ser>
        <c:axId val="314279115"/>
        <c:axId val="708645600"/>
      </c:barChart>
      <c:catAx>
        <c:axId val="314279115"/>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c:txPr>
          <a:bodyPr/>
          <a:lstStyle/>
          <a:p>
            <a:pPr lvl="0">
              <a:defRPr b="0">
                <a:solidFill>
                  <a:srgbClr val="000000"/>
                </a:solidFill>
                <a:latin typeface="+mn-lt"/>
              </a:defRPr>
            </a:pPr>
          </a:p>
        </c:txPr>
        <c:crossAx val="708645600"/>
      </c:catAx>
      <c:valAx>
        <c:axId val="708645600"/>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Profit</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314279115"/>
      </c:valAx>
    </c:plotArea>
    <c:legend>
      <c:legendPos val="r"/>
      <c:overlay val="0"/>
      <c:txPr>
        <a:bodyPr/>
        <a:lstStyle/>
        <a:p>
          <a:pPr lvl="0">
            <a:defRPr b="0">
              <a:solidFill>
                <a:srgbClr val="1A1A1A"/>
              </a:solidFill>
              <a:latin typeface="+mn-lt"/>
            </a:defRPr>
          </a:pPr>
        </a:p>
      </c:txPr>
    </c:legend>
    <c:plotVisOnly val="1"/>
  </c:chart>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 Id="rId2" Type="http://schemas.openxmlformats.org/officeDocument/2006/relationships/chart" Target="../charts/chart4.xml"/><Relationship Id="rId3" Type="http://schemas.openxmlformats.org/officeDocument/2006/relationships/chart" Target="../charts/chart5.xml"/></Relationships>
</file>

<file path=xl/drawings/_rels/drawing4.xml.rels><?xml version="1.0" encoding="UTF-8" standalone="yes"?><Relationships xmlns="http://schemas.openxmlformats.org/package/2006/relationships"><Relationship Id="rId1" Type="http://schemas.openxmlformats.org/officeDocument/2006/relationships/chart" Target="../charts/chart6.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20</xdr:row>
      <xdr:rowOff>123825</xdr:rowOff>
    </xdr:from>
    <xdr:ext cx="4381500" cy="2705100"/>
    <xdr:graphicFrame>
      <xdr:nvGraphicFramePr>
        <xdr:cNvPr id="1" name="Chart 1" title="Chart"/>
        <xdr:cNvGraphicFramePr/>
      </xdr:nvGraphicFramePr>
      <xdr:xfrm>
        <a:off x="0" y="0"/>
        <a:ext cx="0" cy="0"/>
      </xdr:xfrm>
      <a:graphic>
        <a:graphicData uri="http://schemas.openxmlformats.org/drawingml/2006/chart">
          <c:chart r:id="rId1"/>
        </a:graphicData>
      </a:graphic>
    </xdr:graphicFrame>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6</xdr:col>
      <xdr:colOff>819150</xdr:colOff>
      <xdr:row>0</xdr:row>
      <xdr:rowOff>57150</xdr:rowOff>
    </xdr:from>
    <xdr:ext cx="5715000" cy="3533775"/>
    <xdr:graphicFrame>
      <xdr:nvGraphicFramePr>
        <xdr:cNvPr id="2" name="Chart 2" title="Chart"/>
        <xdr:cNvGraphicFramePr/>
      </xdr:nvGraphicFramePr>
      <xdr:xfrm>
        <a:off x="0" y="0"/>
        <a:ext cx="0" cy="0"/>
      </xdr:xfrm>
      <a:graphic>
        <a:graphicData uri="http://schemas.openxmlformats.org/drawingml/2006/chart">
          <c:chart r:id="rId1"/>
        </a:graphicData>
      </a:graphic>
    </xdr:graphicFrame>
    <xdr:clientData fLocksWithSheet="0"/>
  </xdr:one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3</xdr:col>
      <xdr:colOff>142875</xdr:colOff>
      <xdr:row>53</xdr:row>
      <xdr:rowOff>133350</xdr:rowOff>
    </xdr:from>
    <xdr:ext cx="4581525" cy="2828925"/>
    <xdr:graphicFrame>
      <xdr:nvGraphicFramePr>
        <xdr:cNvPr id="3" name="Chart 3" title="Chart"/>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11</xdr:col>
      <xdr:colOff>952500</xdr:colOff>
      <xdr:row>53</xdr:row>
      <xdr:rowOff>161925</xdr:rowOff>
    </xdr:from>
    <xdr:ext cx="4476750" cy="2762250"/>
    <xdr:graphicFrame>
      <xdr:nvGraphicFramePr>
        <xdr:cNvPr id="4" name="Chart 4" title="Chart"/>
        <xdr:cNvGraphicFramePr/>
      </xdr:nvGraphicFramePr>
      <xdr:xfrm>
        <a:off x="0" y="0"/>
        <a:ext cx="0" cy="0"/>
      </xdr:xfrm>
      <a:graphic>
        <a:graphicData uri="http://schemas.openxmlformats.org/drawingml/2006/chart">
          <c:chart r:id="rId2"/>
        </a:graphicData>
      </a:graphic>
    </xdr:graphicFrame>
    <xdr:clientData fLocksWithSheet="0"/>
  </xdr:oneCellAnchor>
  <xdr:oneCellAnchor>
    <xdr:from>
      <xdr:col>14</xdr:col>
      <xdr:colOff>85725</xdr:colOff>
      <xdr:row>69</xdr:row>
      <xdr:rowOff>0</xdr:rowOff>
    </xdr:from>
    <xdr:ext cx="4305300" cy="2667000"/>
    <xdr:graphicFrame>
      <xdr:nvGraphicFramePr>
        <xdr:cNvPr id="5" name="Chart 5" title="Chart"/>
        <xdr:cNvGraphicFramePr/>
      </xdr:nvGraphicFramePr>
      <xdr:xfrm>
        <a:off x="0" y="0"/>
        <a:ext cx="0" cy="0"/>
      </xdr:xfrm>
      <a:graphic>
        <a:graphicData uri="http://schemas.openxmlformats.org/drawingml/2006/chart">
          <c:chart r:id="rId3"/>
        </a:graphicData>
      </a:graphic>
    </xdr:graphicFrame>
    <xdr:clientData fLocksWithSheet="0"/>
  </xdr:oneCellAnchor>
</xdr:wsD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5</xdr:col>
      <xdr:colOff>600075</xdr:colOff>
      <xdr:row>9</xdr:row>
      <xdr:rowOff>47625</xdr:rowOff>
    </xdr:from>
    <xdr:ext cx="3105150" cy="2076450"/>
    <xdr:graphicFrame>
      <xdr:nvGraphicFramePr>
        <xdr:cNvPr id="6" name="Chart 6" title="Chart"/>
        <xdr:cNvGraphicFramePr/>
      </xdr:nvGraphicFramePr>
      <xdr:xfrm>
        <a:off x="0" y="0"/>
        <a:ext cx="0" cy="0"/>
      </xdr:xfrm>
      <a:graphic>
        <a:graphicData uri="http://schemas.openxmlformats.org/drawingml/2006/chart">
          <c:chart r:id="rId1"/>
        </a:graphicData>
      </a:graphic>
    </xdr:graphicFrame>
    <xdr:clientData fLocksWithSheet="0"/>
  </xdr:oneCellAnchor>
</xdr:wsD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2.25"/>
    <col customWidth="1" min="4" max="4" width="14.25"/>
    <col customWidth="1" min="14" max="14" width="28.0"/>
  </cols>
  <sheetData>
    <row r="3">
      <c r="A3" s="1"/>
      <c r="B3" s="2" t="s">
        <v>0</v>
      </c>
      <c r="C3" s="2" t="s">
        <v>1</v>
      </c>
      <c r="D3" s="2" t="s">
        <v>2</v>
      </c>
      <c r="E3" s="2" t="s">
        <v>3</v>
      </c>
      <c r="F3" s="2" t="s">
        <v>4</v>
      </c>
      <c r="G3" s="3" t="s">
        <v>5</v>
      </c>
      <c r="H3" s="3" t="s">
        <v>6</v>
      </c>
      <c r="I3" s="3" t="s">
        <v>7</v>
      </c>
      <c r="J3" s="3" t="s">
        <v>8</v>
      </c>
      <c r="K3" s="3" t="s">
        <v>9</v>
      </c>
      <c r="L3" s="3" t="s">
        <v>10</v>
      </c>
      <c r="M3" s="3" t="s">
        <v>11</v>
      </c>
      <c r="N3" s="3" t="s">
        <v>12</v>
      </c>
      <c r="O3" s="3" t="s">
        <v>13</v>
      </c>
    </row>
    <row r="4">
      <c r="A4" s="4"/>
      <c r="B4" s="5">
        <v>1.0</v>
      </c>
      <c r="C4" s="6">
        <v>3180.0</v>
      </c>
      <c r="D4" s="6">
        <v>17503.0</v>
      </c>
      <c r="E4" s="6">
        <v>1.28952505E8</v>
      </c>
      <c r="F4" s="6">
        <v>6.2160175E7</v>
      </c>
      <c r="G4" s="7">
        <f t="shared" ref="G4:G13" si="2">C4/$C$14</f>
        <v>0.1000094349</v>
      </c>
      <c r="H4" s="8">
        <f t="shared" ref="H4:H13" si="3">D4/$D$14</f>
        <v>0.2857166177</v>
      </c>
      <c r="I4" s="8">
        <f t="shared" ref="I4:I13" si="4">E4/$E$14</f>
        <v>0.3960449742</v>
      </c>
      <c r="J4" s="9">
        <f t="shared" ref="J4:J13" si="5">F4/$F$14</f>
        <v>0.3984214517</v>
      </c>
      <c r="K4" s="10">
        <f t="shared" ref="K4:K13" si="6">E4/C4</f>
        <v>40551.1022</v>
      </c>
      <c r="L4" s="10">
        <f t="shared" ref="L4:L13" si="7">F4/C4</f>
        <v>19547.22484</v>
      </c>
      <c r="M4" s="11">
        <f t="shared" ref="M4:O4" si="1">D4/C4</f>
        <v>5.50408805</v>
      </c>
      <c r="N4" s="12">
        <f t="shared" si="1"/>
        <v>7367.45158</v>
      </c>
      <c r="O4" s="13">
        <f t="shared" si="1"/>
        <v>0.4820392981</v>
      </c>
      <c r="P4" s="9"/>
    </row>
    <row r="5">
      <c r="A5" s="4"/>
      <c r="B5" s="14">
        <v>2.0</v>
      </c>
      <c r="C5" s="15">
        <v>3180.0</v>
      </c>
      <c r="D5" s="15">
        <v>8703.0</v>
      </c>
      <c r="E5" s="15">
        <v>5.5542905E7</v>
      </c>
      <c r="F5" s="16">
        <v>2.707903E7</v>
      </c>
      <c r="G5" s="7">
        <f t="shared" si="2"/>
        <v>0.1000094349</v>
      </c>
      <c r="H5" s="8">
        <f t="shared" si="3"/>
        <v>0.1420666014</v>
      </c>
      <c r="I5" s="8">
        <f t="shared" si="4"/>
        <v>0.1705859718</v>
      </c>
      <c r="J5" s="9">
        <f t="shared" si="5"/>
        <v>0.1735655738</v>
      </c>
      <c r="K5" s="10">
        <f t="shared" si="6"/>
        <v>17466.32233</v>
      </c>
      <c r="L5" s="10">
        <f t="shared" si="7"/>
        <v>8515.418239</v>
      </c>
      <c r="M5" s="11">
        <f t="shared" ref="M5:O5" si="8">D5/C5</f>
        <v>2.736792453</v>
      </c>
      <c r="N5" s="12">
        <f t="shared" si="8"/>
        <v>6382.04125</v>
      </c>
      <c r="O5" s="13">
        <f t="shared" si="8"/>
        <v>0.4875335563</v>
      </c>
      <c r="P5" s="9"/>
    </row>
    <row r="6">
      <c r="A6" s="4"/>
      <c r="B6" s="17">
        <v>3.0</v>
      </c>
      <c r="C6" s="18">
        <v>3177.0</v>
      </c>
      <c r="D6" s="18">
        <v>6345.0</v>
      </c>
      <c r="E6" s="18">
        <v>3.8274225E7</v>
      </c>
      <c r="F6" s="19">
        <v>1.8722055E7</v>
      </c>
      <c r="G6" s="7">
        <f t="shared" si="2"/>
        <v>0.09991508633</v>
      </c>
      <c r="H6" s="8">
        <f t="shared" si="3"/>
        <v>0.1035749265</v>
      </c>
      <c r="I6" s="8">
        <f t="shared" si="4"/>
        <v>0.1175495928</v>
      </c>
      <c r="J6" s="9">
        <f t="shared" si="5"/>
        <v>0.1200007615</v>
      </c>
      <c r="K6" s="10">
        <f t="shared" si="6"/>
        <v>12047.28517</v>
      </c>
      <c r="L6" s="10">
        <f t="shared" si="7"/>
        <v>5892.998111</v>
      </c>
      <c r="M6" s="11">
        <f t="shared" ref="M6:O6" si="9">D6/C6</f>
        <v>1.997167139</v>
      </c>
      <c r="N6" s="12">
        <f t="shared" si="9"/>
        <v>6032.186761</v>
      </c>
      <c r="O6" s="13">
        <f t="shared" si="9"/>
        <v>0.4891556916</v>
      </c>
      <c r="P6" s="9"/>
    </row>
    <row r="7">
      <c r="A7" s="4"/>
      <c r="B7" s="17">
        <v>4.0</v>
      </c>
      <c r="C7" s="18">
        <v>3178.0</v>
      </c>
      <c r="D7" s="18">
        <v>5349.0</v>
      </c>
      <c r="E7" s="18">
        <v>2.901701E7</v>
      </c>
      <c r="F7" s="19">
        <v>1.3916595E7</v>
      </c>
      <c r="G7" s="7">
        <f t="shared" si="2"/>
        <v>0.09994653584</v>
      </c>
      <c r="H7" s="8">
        <f t="shared" si="3"/>
        <v>0.08731635651</v>
      </c>
      <c r="I7" s="8">
        <f t="shared" si="4"/>
        <v>0.08911840044</v>
      </c>
      <c r="J7" s="9">
        <f t="shared" si="5"/>
        <v>0.08919971643</v>
      </c>
      <c r="K7" s="10">
        <f t="shared" si="6"/>
        <v>9130.58842</v>
      </c>
      <c r="L7" s="10">
        <f t="shared" si="7"/>
        <v>4379.04185</v>
      </c>
      <c r="M7" s="11">
        <f t="shared" ref="M7:O7" si="10">D7/C7</f>
        <v>1.683134047</v>
      </c>
      <c r="N7" s="12">
        <f t="shared" si="10"/>
        <v>5424.75416</v>
      </c>
      <c r="O7" s="13">
        <f t="shared" si="10"/>
        <v>0.4796012753</v>
      </c>
      <c r="P7" s="9"/>
    </row>
    <row r="8">
      <c r="A8" s="4"/>
      <c r="B8" s="17">
        <v>5.0</v>
      </c>
      <c r="C8" s="18">
        <v>3183.0</v>
      </c>
      <c r="D8" s="18">
        <v>4683.0</v>
      </c>
      <c r="E8" s="18">
        <v>2.2555225E7</v>
      </c>
      <c r="F8" s="19">
        <v>1.0734405E7</v>
      </c>
      <c r="G8" s="7">
        <f t="shared" si="2"/>
        <v>0.1001037834</v>
      </c>
      <c r="H8" s="8">
        <f t="shared" si="3"/>
        <v>0.0764446621</v>
      </c>
      <c r="I8" s="8">
        <f t="shared" si="4"/>
        <v>0.06927266364</v>
      </c>
      <c r="J8" s="9">
        <f t="shared" si="5"/>
        <v>0.06880317218</v>
      </c>
      <c r="K8" s="10">
        <f t="shared" si="6"/>
        <v>7086.153</v>
      </c>
      <c r="L8" s="10">
        <f t="shared" si="7"/>
        <v>3372.417531</v>
      </c>
      <c r="M8" s="11">
        <f t="shared" ref="M8:O8" si="11">D8/C8</f>
        <v>1.471253534</v>
      </c>
      <c r="N8" s="12">
        <f t="shared" si="11"/>
        <v>4816.405082</v>
      </c>
      <c r="O8" s="13">
        <f t="shared" si="11"/>
        <v>0.4759165559</v>
      </c>
      <c r="P8" s="9"/>
    </row>
    <row r="9">
      <c r="A9" s="4"/>
      <c r="B9" s="17">
        <v>6.0</v>
      </c>
      <c r="C9" s="18">
        <v>3124.0</v>
      </c>
      <c r="D9" s="18">
        <v>4330.0</v>
      </c>
      <c r="E9" s="18">
        <v>1.7169955E7</v>
      </c>
      <c r="F9" s="19">
        <v>7948270.0</v>
      </c>
      <c r="G9" s="7">
        <f t="shared" si="2"/>
        <v>0.09824826241</v>
      </c>
      <c r="H9" s="8">
        <f t="shared" si="3"/>
        <v>0.07068233758</v>
      </c>
      <c r="I9" s="8">
        <f t="shared" si="4"/>
        <v>0.05273317014</v>
      </c>
      <c r="J9" s="9">
        <f t="shared" si="5"/>
        <v>0.05094517948</v>
      </c>
      <c r="K9" s="10">
        <f t="shared" si="6"/>
        <v>5496.144366</v>
      </c>
      <c r="L9" s="10">
        <f t="shared" si="7"/>
        <v>2544.260563</v>
      </c>
      <c r="M9" s="11">
        <f t="shared" ref="M9:O9" si="12">D9/C9</f>
        <v>1.386043534</v>
      </c>
      <c r="N9" s="12">
        <f t="shared" si="12"/>
        <v>3965.347575</v>
      </c>
      <c r="O9" s="13">
        <f t="shared" si="12"/>
        <v>0.462917346</v>
      </c>
      <c r="P9" s="9"/>
    </row>
    <row r="10">
      <c r="A10" s="4"/>
      <c r="B10" s="17">
        <v>7.0</v>
      </c>
      <c r="C10" s="18">
        <v>3233.0</v>
      </c>
      <c r="D10" s="18">
        <v>4004.0</v>
      </c>
      <c r="E10" s="18">
        <v>1.347071E7</v>
      </c>
      <c r="F10" s="19">
        <v>6240025.0</v>
      </c>
      <c r="G10" s="7">
        <f t="shared" si="2"/>
        <v>0.1016762588</v>
      </c>
      <c r="H10" s="8">
        <f t="shared" si="3"/>
        <v>0.06536075743</v>
      </c>
      <c r="I10" s="8">
        <f t="shared" si="4"/>
        <v>0.0413718756</v>
      </c>
      <c r="J10" s="9">
        <f t="shared" si="5"/>
        <v>0.03999602349</v>
      </c>
      <c r="K10" s="10">
        <f t="shared" si="6"/>
        <v>4166.628518</v>
      </c>
      <c r="L10" s="10">
        <f t="shared" si="7"/>
        <v>1930.103619</v>
      </c>
      <c r="M10" s="11">
        <f t="shared" ref="M10:O10" si="13">D10/C10</f>
        <v>1.238478194</v>
      </c>
      <c r="N10" s="12">
        <f t="shared" si="13"/>
        <v>3364.313187</v>
      </c>
      <c r="O10" s="13">
        <f t="shared" si="13"/>
        <v>0.4632291097</v>
      </c>
      <c r="P10" s="9"/>
    </row>
    <row r="11">
      <c r="A11" s="4"/>
      <c r="B11" s="17">
        <v>8.0</v>
      </c>
      <c r="C11" s="18">
        <v>2996.0</v>
      </c>
      <c r="D11" s="18">
        <v>3414.0</v>
      </c>
      <c r="E11" s="18">
        <v>9381075.0</v>
      </c>
      <c r="F11" s="19">
        <v>4326685.0</v>
      </c>
      <c r="G11" s="7">
        <f t="shared" si="2"/>
        <v>0.09422272541</v>
      </c>
      <c r="H11" s="8">
        <f t="shared" si="3"/>
        <v>0.05572967679</v>
      </c>
      <c r="I11" s="8">
        <f t="shared" si="4"/>
        <v>0.028811597</v>
      </c>
      <c r="J11" s="9">
        <f t="shared" si="5"/>
        <v>0.02773229192</v>
      </c>
      <c r="K11" s="10">
        <f t="shared" si="6"/>
        <v>3131.199933</v>
      </c>
      <c r="L11" s="10">
        <f t="shared" si="7"/>
        <v>1444.153872</v>
      </c>
      <c r="M11" s="11">
        <f t="shared" ref="M11:O11" si="14">D11/C11</f>
        <v>1.139519359</v>
      </c>
      <c r="N11" s="12">
        <f t="shared" si="14"/>
        <v>2747.825132</v>
      </c>
      <c r="O11" s="13">
        <f t="shared" si="14"/>
        <v>0.4612141999</v>
      </c>
      <c r="P11" s="9"/>
    </row>
    <row r="12">
      <c r="A12" s="4"/>
      <c r="B12" s="17">
        <v>9.0</v>
      </c>
      <c r="C12" s="18">
        <v>3360.0</v>
      </c>
      <c r="D12" s="18">
        <v>3659.0</v>
      </c>
      <c r="E12" s="18">
        <v>7496500.0</v>
      </c>
      <c r="F12" s="19">
        <v>3334100.0</v>
      </c>
      <c r="G12" s="7">
        <f t="shared" si="2"/>
        <v>0.1056703463</v>
      </c>
      <c r="H12" s="8">
        <f t="shared" si="3"/>
        <v>0.05972902383</v>
      </c>
      <c r="I12" s="8">
        <f t="shared" si="4"/>
        <v>0.02302360198</v>
      </c>
      <c r="J12" s="9">
        <f t="shared" si="5"/>
        <v>0.02137022559</v>
      </c>
      <c r="K12" s="10">
        <f t="shared" si="6"/>
        <v>2231.10119</v>
      </c>
      <c r="L12" s="10">
        <f t="shared" si="7"/>
        <v>992.2916667</v>
      </c>
      <c r="M12" s="11">
        <f t="shared" ref="M12:O12" si="15">D12/C12</f>
        <v>1.088988095</v>
      </c>
      <c r="N12" s="12">
        <f t="shared" si="15"/>
        <v>2048.783821</v>
      </c>
      <c r="O12" s="13">
        <f t="shared" si="15"/>
        <v>0.4447542186</v>
      </c>
      <c r="P12" s="9"/>
    </row>
    <row r="13">
      <c r="A13" s="4"/>
      <c r="B13" s="17">
        <v>10.0</v>
      </c>
      <c r="C13" s="18">
        <v>3186.0</v>
      </c>
      <c r="D13" s="18">
        <v>3270.0</v>
      </c>
      <c r="E13" s="18">
        <v>3740550.0</v>
      </c>
      <c r="F13" s="19">
        <v>1554795.0</v>
      </c>
      <c r="G13" s="20">
        <f t="shared" si="2"/>
        <v>0.1001981319</v>
      </c>
      <c r="H13" s="21">
        <f t="shared" si="3"/>
        <v>0.05337904016</v>
      </c>
      <c r="I13" s="21">
        <f t="shared" si="4"/>
        <v>0.01148815239</v>
      </c>
      <c r="J13" s="22">
        <f t="shared" si="5"/>
        <v>0.009965603878</v>
      </c>
      <c r="K13" s="23">
        <f t="shared" si="6"/>
        <v>1174.05838</v>
      </c>
      <c r="L13" s="23">
        <f t="shared" si="7"/>
        <v>488.0084746</v>
      </c>
      <c r="M13" s="24">
        <f t="shared" ref="M13:O13" si="16">D13/C13</f>
        <v>1.026365348</v>
      </c>
      <c r="N13" s="25">
        <f t="shared" si="16"/>
        <v>1143.899083</v>
      </c>
      <c r="O13" s="26">
        <f t="shared" si="16"/>
        <v>0.4156594618</v>
      </c>
      <c r="P13" s="9"/>
    </row>
    <row r="14">
      <c r="A14" s="27"/>
      <c r="B14" s="28"/>
      <c r="C14" s="29">
        <f t="shared" ref="C14:F14" si="17">SUM(C4:C13)</f>
        <v>31797</v>
      </c>
      <c r="D14" s="29">
        <f t="shared" si="17"/>
        <v>61260</v>
      </c>
      <c r="E14" s="29">
        <f t="shared" si="17"/>
        <v>325600660</v>
      </c>
      <c r="F14" s="30">
        <f t="shared" si="17"/>
        <v>156016135</v>
      </c>
      <c r="G14" s="31"/>
      <c r="H14" s="8"/>
      <c r="I14" s="8"/>
      <c r="P14" s="9"/>
    </row>
    <row r="15">
      <c r="A15" s="32"/>
      <c r="B15" s="33" t="s">
        <v>14</v>
      </c>
      <c r="C15" s="34"/>
      <c r="D15" s="34"/>
      <c r="E15" s="34"/>
      <c r="F15" s="34"/>
      <c r="G15" s="8"/>
      <c r="H15" s="8"/>
      <c r="I15" s="8"/>
    </row>
    <row r="16">
      <c r="A16" s="35"/>
    </row>
    <row r="17">
      <c r="A17" s="36" t="s">
        <v>15</v>
      </c>
      <c r="B17" s="37"/>
      <c r="C17" s="37"/>
      <c r="D17" s="37"/>
      <c r="E17" s="38"/>
      <c r="F17" s="38"/>
      <c r="G17" s="39"/>
      <c r="J17" s="40" t="s">
        <v>16</v>
      </c>
      <c r="K17" s="41"/>
      <c r="L17" s="41"/>
      <c r="M17" s="41"/>
      <c r="N17" s="41"/>
      <c r="O17" s="41"/>
      <c r="P17" s="42"/>
    </row>
    <row r="18">
      <c r="A18" s="43" t="s">
        <v>17</v>
      </c>
      <c r="G18" s="44"/>
      <c r="J18" s="43" t="s">
        <v>18</v>
      </c>
      <c r="P18" s="45"/>
    </row>
    <row r="19">
      <c r="A19" s="43" t="s">
        <v>19</v>
      </c>
      <c r="G19" s="44"/>
      <c r="J19" s="43" t="s">
        <v>20</v>
      </c>
      <c r="P19" s="45"/>
    </row>
    <row r="20">
      <c r="A20" s="46" t="s">
        <v>21</v>
      </c>
      <c r="B20" s="47"/>
      <c r="C20" s="47"/>
      <c r="D20" s="47"/>
      <c r="E20" s="47"/>
      <c r="F20" s="47"/>
      <c r="G20" s="48"/>
      <c r="J20" s="43" t="s">
        <v>22</v>
      </c>
      <c r="P20" s="45"/>
    </row>
    <row r="21">
      <c r="A21" s="49"/>
      <c r="J21" s="43" t="s">
        <v>23</v>
      </c>
      <c r="P21" s="45"/>
    </row>
    <row r="22">
      <c r="J22" s="50"/>
      <c r="P22" s="45"/>
    </row>
    <row r="23">
      <c r="J23" s="51"/>
      <c r="K23" s="47"/>
      <c r="L23" s="47"/>
      <c r="M23" s="47"/>
      <c r="N23" s="47"/>
      <c r="O23" s="52"/>
      <c r="P23" s="53"/>
    </row>
  </sheetData>
  <mergeCells count="9">
    <mergeCell ref="J20:N20"/>
    <mergeCell ref="J21:N23"/>
    <mergeCell ref="A17:D17"/>
    <mergeCell ref="A18:G18"/>
    <mergeCell ref="J18:N18"/>
    <mergeCell ref="A19:G19"/>
    <mergeCell ref="J19:N19"/>
    <mergeCell ref="A20:G20"/>
    <mergeCell ref="A21:F21"/>
  </mergeCell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54" t="s">
        <v>24</v>
      </c>
      <c r="B1" s="54" t="s">
        <v>1</v>
      </c>
      <c r="C1" s="54" t="s">
        <v>2</v>
      </c>
      <c r="D1" s="54" t="s">
        <v>3</v>
      </c>
      <c r="E1" s="54" t="s">
        <v>4</v>
      </c>
      <c r="I1" s="55"/>
    </row>
    <row r="2">
      <c r="A2" s="56" t="s">
        <v>25</v>
      </c>
      <c r="B2" s="57">
        <v>2943.0</v>
      </c>
      <c r="C2" s="57">
        <v>3683.0</v>
      </c>
      <c r="D2" s="57">
        <v>2.180398E7</v>
      </c>
      <c r="E2" s="57">
        <v>1.0398135E7</v>
      </c>
      <c r="F2" s="58">
        <f t="shared" ref="F2:F17" si="1">B2/$B$2</f>
        <v>1</v>
      </c>
      <c r="I2" s="59"/>
      <c r="J2" s="60"/>
      <c r="K2" s="60"/>
      <c r="L2" s="60"/>
      <c r="M2" s="60"/>
    </row>
    <row r="3">
      <c r="A3" s="61" t="s">
        <v>26</v>
      </c>
      <c r="B3" s="17">
        <v>346.0</v>
      </c>
      <c r="C3" s="17">
        <v>513.0</v>
      </c>
      <c r="D3" s="17">
        <v>2765015.0</v>
      </c>
      <c r="E3" s="17">
        <v>1386330.0</v>
      </c>
      <c r="F3" s="58">
        <f t="shared" si="1"/>
        <v>0.1175671084</v>
      </c>
      <c r="I3" s="60"/>
      <c r="J3" s="60"/>
      <c r="K3" s="60"/>
      <c r="L3" s="60"/>
      <c r="M3" s="60"/>
    </row>
    <row r="4">
      <c r="A4" s="61" t="s">
        <v>27</v>
      </c>
      <c r="B4" s="17">
        <v>313.0</v>
      </c>
      <c r="C4" s="17">
        <v>451.0</v>
      </c>
      <c r="D4" s="17">
        <v>2352130.0</v>
      </c>
      <c r="E4" s="17">
        <v>1173700.0</v>
      </c>
      <c r="F4" s="58">
        <f t="shared" si="1"/>
        <v>0.1063540605</v>
      </c>
    </row>
    <row r="5">
      <c r="A5" s="61" t="s">
        <v>28</v>
      </c>
      <c r="B5" s="17">
        <v>485.0</v>
      </c>
      <c r="C5" s="17">
        <v>819.0</v>
      </c>
      <c r="D5" s="17">
        <v>4692930.0</v>
      </c>
      <c r="E5" s="17">
        <v>2335300.0</v>
      </c>
      <c r="F5" s="58">
        <f t="shared" si="1"/>
        <v>0.1647978253</v>
      </c>
    </row>
    <row r="6">
      <c r="A6" s="61" t="s">
        <v>29</v>
      </c>
      <c r="B6" s="17">
        <v>296.0</v>
      </c>
      <c r="C6" s="17">
        <v>435.0</v>
      </c>
      <c r="D6" s="17">
        <v>2411530.0</v>
      </c>
      <c r="E6" s="17">
        <v>1161600.0</v>
      </c>
      <c r="F6" s="58">
        <f t="shared" si="1"/>
        <v>0.1005776419</v>
      </c>
    </row>
    <row r="7">
      <c r="A7" s="61" t="s">
        <v>30</v>
      </c>
      <c r="B7" s="17">
        <v>286.0</v>
      </c>
      <c r="C7" s="17">
        <v>453.0</v>
      </c>
      <c r="D7" s="17">
        <v>2186470.0</v>
      </c>
      <c r="E7" s="17">
        <v>1074425.0</v>
      </c>
      <c r="F7" s="58">
        <f t="shared" si="1"/>
        <v>0.09717974856</v>
      </c>
    </row>
    <row r="8">
      <c r="A8" s="61" t="s">
        <v>31</v>
      </c>
      <c r="B8" s="17">
        <v>245.0</v>
      </c>
      <c r="C8" s="17">
        <v>396.0</v>
      </c>
      <c r="D8" s="17">
        <v>2040280.0</v>
      </c>
      <c r="E8" s="17">
        <v>988295.0</v>
      </c>
      <c r="F8" s="58">
        <f t="shared" si="1"/>
        <v>0.083248386</v>
      </c>
    </row>
    <row r="9">
      <c r="A9" s="61" t="s">
        <v>32</v>
      </c>
      <c r="B9" s="17">
        <v>420.0</v>
      </c>
      <c r="C9" s="17">
        <v>808.0</v>
      </c>
      <c r="D9" s="17">
        <v>4619175.0</v>
      </c>
      <c r="E9" s="17">
        <v>2215950.0</v>
      </c>
      <c r="F9" s="58">
        <f t="shared" si="1"/>
        <v>0.1427115189</v>
      </c>
    </row>
    <row r="10">
      <c r="A10" s="61" t="s">
        <v>33</v>
      </c>
      <c r="B10" s="17">
        <v>312.0</v>
      </c>
      <c r="C10" s="17">
        <v>481.0</v>
      </c>
      <c r="D10" s="17">
        <v>2391565.0</v>
      </c>
      <c r="E10" s="17">
        <v>1101815.0</v>
      </c>
      <c r="F10" s="58">
        <f t="shared" si="1"/>
        <v>0.1060142712</v>
      </c>
    </row>
    <row r="11">
      <c r="A11" s="61" t="s">
        <v>34</v>
      </c>
      <c r="B11" s="17">
        <v>281.0</v>
      </c>
      <c r="C11" s="17">
        <v>462.0</v>
      </c>
      <c r="D11" s="17">
        <v>2061895.0</v>
      </c>
      <c r="E11" s="17">
        <v>960080.0</v>
      </c>
      <c r="F11" s="58">
        <f t="shared" si="1"/>
        <v>0.0954808019</v>
      </c>
    </row>
    <row r="12">
      <c r="A12" s="61" t="s">
        <v>35</v>
      </c>
      <c r="B12" s="17">
        <v>220.0</v>
      </c>
      <c r="C12" s="17">
        <v>384.0</v>
      </c>
      <c r="D12" s="17">
        <v>1826220.0</v>
      </c>
      <c r="E12" s="17">
        <v>838310.0</v>
      </c>
      <c r="F12" s="58">
        <f t="shared" si="1"/>
        <v>0.07475365274</v>
      </c>
    </row>
    <row r="13">
      <c r="A13" s="61" t="s">
        <v>36</v>
      </c>
      <c r="B13" s="17">
        <v>358.0</v>
      </c>
      <c r="C13" s="17">
        <v>722.0</v>
      </c>
      <c r="D13" s="17">
        <v>3652880.0</v>
      </c>
      <c r="E13" s="17">
        <v>1726835.0</v>
      </c>
      <c r="F13" s="58">
        <f t="shared" si="1"/>
        <v>0.1216445804</v>
      </c>
    </row>
    <row r="14">
      <c r="A14" s="61" t="s">
        <v>37</v>
      </c>
      <c r="B14" s="17">
        <v>244.0</v>
      </c>
      <c r="C14" s="17">
        <v>397.0</v>
      </c>
      <c r="D14" s="17">
        <v>1945185.0</v>
      </c>
      <c r="E14" s="17">
        <v>908215.0</v>
      </c>
      <c r="F14" s="58">
        <f t="shared" si="1"/>
        <v>0.08290859667</v>
      </c>
    </row>
    <row r="15">
      <c r="A15" s="61" t="s">
        <v>38</v>
      </c>
      <c r="B15" s="17">
        <v>236.0</v>
      </c>
      <c r="C15" s="17">
        <v>390.0</v>
      </c>
      <c r="D15" s="17">
        <v>1882925.0</v>
      </c>
      <c r="E15" s="17">
        <v>884840.0</v>
      </c>
      <c r="F15" s="58">
        <f t="shared" si="1"/>
        <v>0.08019028203</v>
      </c>
    </row>
    <row r="16">
      <c r="A16" s="61" t="s">
        <v>39</v>
      </c>
      <c r="B16" s="17">
        <v>201.0</v>
      </c>
      <c r="C16" s="17">
        <v>338.0</v>
      </c>
      <c r="D16" s="17">
        <v>1504580.0</v>
      </c>
      <c r="E16" s="17">
        <v>703560.0</v>
      </c>
      <c r="F16" s="58">
        <f t="shared" si="1"/>
        <v>0.06829765545</v>
      </c>
    </row>
    <row r="17">
      <c r="A17" s="62" t="s">
        <v>40</v>
      </c>
      <c r="B17" s="63">
        <v>353.0</v>
      </c>
      <c r="C17" s="63">
        <v>657.0</v>
      </c>
      <c r="D17" s="63">
        <v>3447070.0</v>
      </c>
      <c r="E17" s="63">
        <v>1627065.0</v>
      </c>
      <c r="F17" s="58">
        <f t="shared" si="1"/>
        <v>0.1199456337</v>
      </c>
    </row>
    <row r="19">
      <c r="A19" s="36" t="s">
        <v>41</v>
      </c>
      <c r="B19" s="64"/>
      <c r="C19" s="64"/>
      <c r="D19" s="64"/>
      <c r="E19" s="38"/>
      <c r="F19" s="38"/>
      <c r="G19" s="38"/>
      <c r="H19" s="39"/>
      <c r="K19" s="40" t="s">
        <v>42</v>
      </c>
      <c r="L19" s="41"/>
      <c r="M19" s="41"/>
      <c r="N19" s="41"/>
      <c r="O19" s="41"/>
      <c r="P19" s="42"/>
    </row>
    <row r="20">
      <c r="A20" s="65"/>
      <c r="H20" s="45"/>
      <c r="K20" s="66"/>
      <c r="P20" s="45"/>
    </row>
    <row r="21">
      <c r="A21" s="46" t="s">
        <v>43</v>
      </c>
      <c r="B21" s="47"/>
      <c r="C21" s="47"/>
      <c r="D21" s="47"/>
      <c r="E21" s="47"/>
      <c r="F21" s="47"/>
      <c r="G21" s="47"/>
      <c r="H21" s="48"/>
      <c r="K21" s="46" t="s">
        <v>44</v>
      </c>
      <c r="L21" s="47"/>
      <c r="M21" s="47"/>
      <c r="N21" s="47"/>
      <c r="O21" s="47"/>
      <c r="P21" s="48"/>
    </row>
    <row r="22">
      <c r="A22" s="60"/>
    </row>
    <row r="23">
      <c r="A23" s="60"/>
      <c r="B23" s="60"/>
      <c r="C23" s="60"/>
      <c r="D23" s="60"/>
      <c r="E23" s="60"/>
      <c r="F23" s="60"/>
      <c r="G23" s="60"/>
      <c r="H23" s="60"/>
    </row>
    <row r="24">
      <c r="A24" s="60"/>
      <c r="B24" s="60"/>
      <c r="C24" s="60"/>
      <c r="D24" s="60"/>
      <c r="E24" s="60"/>
      <c r="F24" s="60"/>
      <c r="G24" s="60"/>
      <c r="H24" s="60"/>
    </row>
    <row r="25">
      <c r="A25" s="60"/>
      <c r="B25" s="60"/>
      <c r="C25" s="60"/>
      <c r="D25" s="60"/>
      <c r="E25" s="60"/>
      <c r="F25" s="60"/>
      <c r="G25" s="60"/>
      <c r="H25" s="60"/>
    </row>
  </sheetData>
  <mergeCells count="3">
    <mergeCell ref="A21:H21"/>
    <mergeCell ref="K21:P21"/>
    <mergeCell ref="A22:H22"/>
  </mergeCells>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8" max="8" width="14.75"/>
  </cols>
  <sheetData>
    <row r="1">
      <c r="A1" s="67"/>
      <c r="B1" s="68"/>
      <c r="C1" s="68"/>
      <c r="D1" s="68"/>
      <c r="E1" s="69"/>
      <c r="G1" s="70"/>
      <c r="H1" s="68"/>
      <c r="I1" s="68"/>
      <c r="J1" s="68"/>
      <c r="K1" s="68"/>
      <c r="M1" s="70"/>
      <c r="N1" s="68"/>
      <c r="O1" s="68"/>
      <c r="P1" s="68"/>
      <c r="Q1" s="68"/>
    </row>
    <row r="2">
      <c r="A2" s="70"/>
      <c r="B2" s="68"/>
      <c r="C2" s="68"/>
      <c r="D2" s="68"/>
      <c r="E2" s="69"/>
      <c r="G2" s="70"/>
      <c r="H2" s="68"/>
      <c r="I2" s="68"/>
      <c r="J2" s="68"/>
      <c r="K2" s="68"/>
      <c r="M2" s="70"/>
      <c r="N2" s="68"/>
      <c r="O2" s="68"/>
      <c r="P2" s="68"/>
      <c r="Q2" s="68"/>
    </row>
    <row r="3">
      <c r="A3" s="70" t="s">
        <v>45</v>
      </c>
      <c r="B3" s="68"/>
      <c r="C3" s="68"/>
      <c r="D3" s="68"/>
      <c r="E3" s="69"/>
      <c r="G3" s="70" t="s">
        <v>46</v>
      </c>
      <c r="H3" s="68"/>
      <c r="I3" s="68"/>
      <c r="J3" s="68"/>
      <c r="K3" s="68"/>
      <c r="M3" s="70" t="s">
        <v>47</v>
      </c>
      <c r="N3" s="68"/>
      <c r="O3" s="68"/>
      <c r="P3" s="68"/>
      <c r="Q3" s="68"/>
    </row>
    <row r="4">
      <c r="A4" s="54" t="s">
        <v>24</v>
      </c>
      <c r="B4" s="54" t="s">
        <v>1</v>
      </c>
      <c r="C4" s="54" t="s">
        <v>2</v>
      </c>
      <c r="D4" s="54" t="s">
        <v>3</v>
      </c>
      <c r="E4" s="71" t="s">
        <v>4</v>
      </c>
      <c r="G4" s="54" t="s">
        <v>24</v>
      </c>
      <c r="H4" s="54" t="s">
        <v>1</v>
      </c>
      <c r="I4" s="54" t="s">
        <v>2</v>
      </c>
      <c r="J4" s="54" t="s">
        <v>3</v>
      </c>
      <c r="K4" s="54" t="s">
        <v>4</v>
      </c>
      <c r="M4" s="54" t="s">
        <v>24</v>
      </c>
      <c r="N4" s="54" t="s">
        <v>1</v>
      </c>
      <c r="O4" s="54" t="s">
        <v>2</v>
      </c>
      <c r="P4" s="54" t="s">
        <v>3</v>
      </c>
      <c r="Q4" s="54" t="s">
        <v>4</v>
      </c>
    </row>
    <row r="5">
      <c r="A5" s="61" t="s">
        <v>27</v>
      </c>
      <c r="B5" s="17">
        <v>2842.0</v>
      </c>
      <c r="C5" s="17">
        <v>3593.0</v>
      </c>
      <c r="D5" s="17">
        <v>1.8866045E7</v>
      </c>
      <c r="E5" s="18">
        <v>9389215.0</v>
      </c>
      <c r="G5" s="72"/>
      <c r="H5" s="73"/>
      <c r="I5" s="73"/>
      <c r="J5" s="17">
        <v>0.0</v>
      </c>
      <c r="K5" s="17">
        <v>0.0</v>
      </c>
      <c r="M5" s="72"/>
      <c r="N5" s="73"/>
      <c r="O5" s="73"/>
      <c r="P5" s="17">
        <v>0.0</v>
      </c>
      <c r="Q5" s="17">
        <v>0.0</v>
      </c>
    </row>
    <row r="6">
      <c r="A6" s="61" t="s">
        <v>28</v>
      </c>
      <c r="B6" s="17">
        <v>529.0</v>
      </c>
      <c r="C6" s="17">
        <v>818.0</v>
      </c>
      <c r="D6" s="17">
        <v>4377010.0</v>
      </c>
      <c r="E6" s="18">
        <v>2173325.0</v>
      </c>
      <c r="G6" s="61" t="s">
        <v>28</v>
      </c>
      <c r="H6" s="17">
        <v>6161.0</v>
      </c>
      <c r="I6" s="17">
        <v>7980.0</v>
      </c>
      <c r="J6" s="17">
        <v>5.0815985E7</v>
      </c>
      <c r="K6" s="17">
        <v>2.616405E7</v>
      </c>
      <c r="M6" s="72"/>
      <c r="N6" s="73"/>
      <c r="O6" s="73"/>
      <c r="P6" s="17">
        <v>0.0</v>
      </c>
      <c r="Q6" s="17">
        <v>0.0</v>
      </c>
    </row>
    <row r="7">
      <c r="A7" s="61" t="s">
        <v>29</v>
      </c>
      <c r="B7" s="17">
        <v>237.0</v>
      </c>
      <c r="C7" s="17">
        <v>325.0</v>
      </c>
      <c r="D7" s="17">
        <v>1908940.0</v>
      </c>
      <c r="E7" s="18">
        <v>942755.0</v>
      </c>
      <c r="G7" s="61" t="s">
        <v>29</v>
      </c>
      <c r="H7" s="17">
        <v>619.0</v>
      </c>
      <c r="I7" s="17">
        <v>939.0</v>
      </c>
      <c r="J7" s="17">
        <v>5396435.0</v>
      </c>
      <c r="K7" s="17">
        <v>2596110.0</v>
      </c>
      <c r="M7" s="72"/>
      <c r="N7" s="73"/>
      <c r="O7" s="73"/>
      <c r="P7" s="17">
        <v>0.0</v>
      </c>
      <c r="Q7" s="17">
        <v>0.0</v>
      </c>
    </row>
    <row r="8">
      <c r="A8" s="61" t="s">
        <v>30</v>
      </c>
      <c r="B8" s="17">
        <v>318.0</v>
      </c>
      <c r="C8" s="17">
        <v>467.0</v>
      </c>
      <c r="D8" s="17">
        <v>2357300.0</v>
      </c>
      <c r="E8" s="18">
        <v>1154450.0</v>
      </c>
      <c r="G8" s="61" t="s">
        <v>30</v>
      </c>
      <c r="H8" s="17">
        <v>546.0</v>
      </c>
      <c r="I8" s="17">
        <v>855.0</v>
      </c>
      <c r="J8" s="17">
        <v>4014505.0</v>
      </c>
      <c r="K8" s="17">
        <v>1990010.0</v>
      </c>
      <c r="M8" s="72"/>
      <c r="N8" s="73"/>
      <c r="O8" s="73"/>
      <c r="P8" s="17">
        <v>0.0</v>
      </c>
      <c r="Q8" s="17">
        <v>0.0</v>
      </c>
    </row>
    <row r="9">
      <c r="A9" s="61" t="s">
        <v>31</v>
      </c>
      <c r="B9" s="17">
        <v>317.0</v>
      </c>
      <c r="C9" s="17">
        <v>468.0</v>
      </c>
      <c r="D9" s="17">
        <v>2213530.0</v>
      </c>
      <c r="E9" s="18">
        <v>1063370.0</v>
      </c>
      <c r="G9" s="61" t="s">
        <v>31</v>
      </c>
      <c r="H9" s="17">
        <v>451.0</v>
      </c>
      <c r="I9" s="17">
        <v>696.0</v>
      </c>
      <c r="J9" s="17">
        <v>3515930.0</v>
      </c>
      <c r="K9" s="17">
        <v>1742015.0</v>
      </c>
      <c r="M9" s="72"/>
      <c r="N9" s="73"/>
      <c r="O9" s="73"/>
      <c r="P9" s="17">
        <v>0.0</v>
      </c>
      <c r="Q9" s="17">
        <v>0.0</v>
      </c>
    </row>
    <row r="10">
      <c r="A10" s="61" t="s">
        <v>32</v>
      </c>
      <c r="B10" s="17">
        <v>366.0</v>
      </c>
      <c r="C10" s="17">
        <v>615.0</v>
      </c>
      <c r="D10" s="17">
        <v>3017685.0</v>
      </c>
      <c r="E10" s="18">
        <v>1435610.0</v>
      </c>
      <c r="G10" s="61" t="s">
        <v>32</v>
      </c>
      <c r="H10" s="17">
        <v>939.0</v>
      </c>
      <c r="I10" s="17">
        <v>1579.0</v>
      </c>
      <c r="J10" s="17">
        <v>8754185.0</v>
      </c>
      <c r="K10" s="17">
        <v>4264700.0</v>
      </c>
      <c r="M10" s="61" t="s">
        <v>32</v>
      </c>
      <c r="N10" s="17">
        <v>5881.0</v>
      </c>
      <c r="O10" s="17">
        <v>7651.0</v>
      </c>
      <c r="P10" s="17">
        <v>4.608989E7</v>
      </c>
      <c r="Q10" s="17">
        <v>2.257783E7</v>
      </c>
    </row>
    <row r="11">
      <c r="A11" s="61" t="s">
        <v>33</v>
      </c>
      <c r="B11" s="17">
        <v>234.0</v>
      </c>
      <c r="C11" s="17">
        <v>339.0</v>
      </c>
      <c r="D11" s="17">
        <v>1575365.0</v>
      </c>
      <c r="E11" s="18">
        <v>740795.0</v>
      </c>
      <c r="G11" s="61" t="s">
        <v>33</v>
      </c>
      <c r="H11" s="17">
        <v>418.0</v>
      </c>
      <c r="I11" s="17">
        <v>687.0</v>
      </c>
      <c r="J11" s="17">
        <v>3430020.0</v>
      </c>
      <c r="K11" s="17">
        <v>1596375.0</v>
      </c>
      <c r="M11" s="61" t="s">
        <v>33</v>
      </c>
      <c r="N11" s="17">
        <v>690.0</v>
      </c>
      <c r="O11" s="17">
        <v>1011.0</v>
      </c>
      <c r="P11" s="17">
        <v>5531845.0</v>
      </c>
      <c r="Q11" s="17">
        <v>2540340.0</v>
      </c>
    </row>
    <row r="12">
      <c r="A12" s="61" t="s">
        <v>34</v>
      </c>
      <c r="B12" s="17">
        <v>254.0</v>
      </c>
      <c r="C12" s="17">
        <v>408.0</v>
      </c>
      <c r="D12" s="17">
        <v>1804770.0</v>
      </c>
      <c r="E12" s="18">
        <v>868560.0</v>
      </c>
      <c r="G12" s="61" t="s">
        <v>34</v>
      </c>
      <c r="H12" s="17">
        <v>442.0</v>
      </c>
      <c r="I12" s="17">
        <v>738.0</v>
      </c>
      <c r="J12" s="17">
        <v>3375460.0</v>
      </c>
      <c r="K12" s="17">
        <v>1614635.0</v>
      </c>
      <c r="M12" s="61" t="s">
        <v>34</v>
      </c>
      <c r="N12" s="17">
        <v>473.0</v>
      </c>
      <c r="O12" s="17">
        <v>675.0</v>
      </c>
      <c r="P12" s="17">
        <v>3571370.0</v>
      </c>
      <c r="Q12" s="17">
        <v>1677170.0</v>
      </c>
    </row>
    <row r="13">
      <c r="A13" s="61" t="s">
        <v>35</v>
      </c>
      <c r="B13" s="17">
        <v>269.0</v>
      </c>
      <c r="C13" s="17">
        <v>385.0</v>
      </c>
      <c r="D13" s="17">
        <v>1582735.0</v>
      </c>
      <c r="E13" s="18">
        <v>742940.0</v>
      </c>
      <c r="G13" s="61" t="s">
        <v>35</v>
      </c>
      <c r="H13" s="17">
        <v>430.0</v>
      </c>
      <c r="I13" s="17">
        <v>731.0</v>
      </c>
      <c r="J13" s="17">
        <v>3476385.0</v>
      </c>
      <c r="K13" s="17">
        <v>1640210.0</v>
      </c>
      <c r="M13" s="61" t="s">
        <v>35</v>
      </c>
      <c r="N13" s="17">
        <v>420.0</v>
      </c>
      <c r="O13" s="17">
        <v>601.0</v>
      </c>
      <c r="P13" s="17">
        <v>2838000.0</v>
      </c>
      <c r="Q13" s="17">
        <v>1371040.0</v>
      </c>
    </row>
    <row r="14">
      <c r="A14" s="61" t="s">
        <v>36</v>
      </c>
      <c r="B14" s="17">
        <v>358.0</v>
      </c>
      <c r="C14" s="17">
        <v>625.0</v>
      </c>
      <c r="D14" s="17">
        <v>3222065.0</v>
      </c>
      <c r="E14" s="18">
        <v>1519155.0</v>
      </c>
      <c r="G14" s="61" t="s">
        <v>36</v>
      </c>
      <c r="H14" s="17">
        <v>885.0</v>
      </c>
      <c r="I14" s="17">
        <v>1542.0</v>
      </c>
      <c r="J14" s="17">
        <v>8510590.0</v>
      </c>
      <c r="K14" s="17">
        <v>4095850.0</v>
      </c>
      <c r="M14" s="61" t="s">
        <v>36</v>
      </c>
      <c r="N14" s="17">
        <v>999.0</v>
      </c>
      <c r="O14" s="17">
        <v>1660.0</v>
      </c>
      <c r="P14" s="17">
        <v>8927160.0</v>
      </c>
      <c r="Q14" s="17">
        <v>4306665.0</v>
      </c>
    </row>
    <row r="15">
      <c r="A15" s="61" t="s">
        <v>37</v>
      </c>
      <c r="B15" s="17">
        <v>220.0</v>
      </c>
      <c r="C15" s="17">
        <v>323.0</v>
      </c>
      <c r="D15" s="17">
        <v>1638945.0</v>
      </c>
      <c r="E15" s="18">
        <v>766755.0</v>
      </c>
      <c r="G15" s="61" t="s">
        <v>37</v>
      </c>
      <c r="H15" s="17">
        <v>381.0</v>
      </c>
      <c r="I15" s="17">
        <v>625.0</v>
      </c>
      <c r="J15" s="17">
        <v>3439535.0</v>
      </c>
      <c r="K15" s="17">
        <v>1651705.0</v>
      </c>
      <c r="M15" s="61" t="s">
        <v>37</v>
      </c>
      <c r="N15" s="17">
        <v>387.0</v>
      </c>
      <c r="O15" s="17">
        <v>562.0</v>
      </c>
      <c r="P15" s="17">
        <v>3135275.0</v>
      </c>
      <c r="Q15" s="17">
        <v>1509805.0</v>
      </c>
    </row>
    <row r="16">
      <c r="A16" s="61" t="s">
        <v>38</v>
      </c>
      <c r="B16" s="17">
        <v>224.0</v>
      </c>
      <c r="C16" s="17">
        <v>338.0</v>
      </c>
      <c r="D16" s="17">
        <v>1742675.0</v>
      </c>
      <c r="E16" s="18">
        <v>828905.0</v>
      </c>
      <c r="G16" s="61" t="s">
        <v>38</v>
      </c>
      <c r="H16" s="17">
        <v>384.0</v>
      </c>
      <c r="I16" s="17">
        <v>654.0</v>
      </c>
      <c r="J16" s="17">
        <v>3467475.0</v>
      </c>
      <c r="K16" s="17">
        <v>1650495.0</v>
      </c>
      <c r="M16" s="61" t="s">
        <v>38</v>
      </c>
      <c r="N16" s="17">
        <v>343.0</v>
      </c>
      <c r="O16" s="17">
        <v>522.0</v>
      </c>
      <c r="P16" s="17">
        <v>2546775.0</v>
      </c>
      <c r="Q16" s="17">
        <v>1241075.0</v>
      </c>
    </row>
    <row r="17">
      <c r="A17" s="61" t="s">
        <v>39</v>
      </c>
      <c r="B17" s="17">
        <v>230.0</v>
      </c>
      <c r="C17" s="17">
        <v>349.0</v>
      </c>
      <c r="D17" s="17">
        <v>1446720.0</v>
      </c>
      <c r="E17" s="18">
        <v>692780.0</v>
      </c>
      <c r="G17" s="61" t="s">
        <v>39</v>
      </c>
      <c r="H17" s="17">
        <v>351.0</v>
      </c>
      <c r="I17" s="17">
        <v>561.0</v>
      </c>
      <c r="J17" s="17">
        <v>2413840.0</v>
      </c>
      <c r="K17" s="17">
        <v>1158025.0</v>
      </c>
      <c r="M17" s="61" t="s">
        <v>39</v>
      </c>
      <c r="N17" s="17">
        <v>356.0</v>
      </c>
      <c r="O17" s="17">
        <v>518.0</v>
      </c>
      <c r="P17" s="17">
        <v>2251975.0</v>
      </c>
      <c r="Q17" s="17">
        <v>1074480.0</v>
      </c>
    </row>
    <row r="18">
      <c r="A18" s="62" t="s">
        <v>40</v>
      </c>
      <c r="B18" s="63">
        <v>311.0</v>
      </c>
      <c r="C18" s="63">
        <v>523.0</v>
      </c>
      <c r="D18" s="63">
        <v>2693735.0</v>
      </c>
      <c r="E18" s="29">
        <v>1293325.0</v>
      </c>
      <c r="G18" s="62" t="s">
        <v>40</v>
      </c>
      <c r="H18" s="63">
        <v>743.0</v>
      </c>
      <c r="I18" s="63">
        <v>1364.0</v>
      </c>
      <c r="J18" s="63">
        <v>7542645.0</v>
      </c>
      <c r="K18" s="63">
        <v>3669875.0</v>
      </c>
      <c r="M18" s="62" t="s">
        <v>40</v>
      </c>
      <c r="N18" s="63">
        <v>778.0</v>
      </c>
      <c r="O18" s="63">
        <v>1300.0</v>
      </c>
      <c r="P18" s="63">
        <v>7285410.0</v>
      </c>
      <c r="Q18" s="63">
        <v>3469510.0</v>
      </c>
    </row>
    <row r="22">
      <c r="A22" s="74" t="s">
        <v>24</v>
      </c>
      <c r="B22" s="75" t="s">
        <v>1</v>
      </c>
      <c r="C22" s="75" t="s">
        <v>2</v>
      </c>
      <c r="D22" s="75" t="s">
        <v>3</v>
      </c>
      <c r="E22" s="75" t="s">
        <v>4</v>
      </c>
      <c r="F22" s="75" t="s">
        <v>48</v>
      </c>
      <c r="G22" s="75" t="s">
        <v>49</v>
      </c>
      <c r="H22" s="75" t="s">
        <v>11</v>
      </c>
      <c r="I22" s="76" t="s">
        <v>12</v>
      </c>
      <c r="K22" s="77" t="s">
        <v>24</v>
      </c>
      <c r="L22" s="78" t="s">
        <v>1</v>
      </c>
      <c r="M22" s="78" t="s">
        <v>2</v>
      </c>
      <c r="N22" s="78" t="s">
        <v>3</v>
      </c>
      <c r="O22" s="78" t="s">
        <v>4</v>
      </c>
      <c r="P22" s="75" t="s">
        <v>48</v>
      </c>
      <c r="Q22" s="75" t="s">
        <v>49</v>
      </c>
      <c r="R22" s="75" t="s">
        <v>11</v>
      </c>
      <c r="S22" s="76" t="s">
        <v>12</v>
      </c>
      <c r="U22" s="79" t="s">
        <v>24</v>
      </c>
      <c r="V22" s="80" t="s">
        <v>1</v>
      </c>
      <c r="W22" s="80" t="s">
        <v>2</v>
      </c>
      <c r="X22" s="80" t="s">
        <v>3</v>
      </c>
      <c r="Y22" s="80" t="s">
        <v>4</v>
      </c>
      <c r="Z22" s="76" t="s">
        <v>48</v>
      </c>
      <c r="AA22" s="75" t="s">
        <v>49</v>
      </c>
      <c r="AB22" s="75" t="s">
        <v>11</v>
      </c>
      <c r="AC22" s="76" t="s">
        <v>12</v>
      </c>
    </row>
    <row r="23">
      <c r="A23" s="81" t="str">
        <f t="shared" ref="A23:E23" si="1">A5</f>
        <v>2021Q3</v>
      </c>
      <c r="B23" s="82">
        <f t="shared" si="1"/>
        <v>2842</v>
      </c>
      <c r="C23" s="82">
        <f t="shared" si="1"/>
        <v>3593</v>
      </c>
      <c r="D23" s="82">
        <f t="shared" si="1"/>
        <v>18866045</v>
      </c>
      <c r="E23" s="82">
        <f t="shared" si="1"/>
        <v>9389215</v>
      </c>
      <c r="F23" s="83">
        <f t="shared" ref="F23:F36" si="4">B5/$B$5</f>
        <v>1</v>
      </c>
      <c r="G23" s="84">
        <f t="shared" ref="G23:G36" si="5">D5/B5</f>
        <v>6638.298733</v>
      </c>
      <c r="H23" s="85">
        <f t="shared" ref="H23:I23" si="2">C5/B5</f>
        <v>1.264250528</v>
      </c>
      <c r="I23" s="86">
        <f t="shared" si="2"/>
        <v>5250.777901</v>
      </c>
      <c r="K23" s="87"/>
      <c r="L23" s="88"/>
      <c r="M23" s="88"/>
      <c r="N23" s="89"/>
      <c r="O23" s="89"/>
      <c r="P23" s="90"/>
      <c r="Q23" s="91"/>
      <c r="R23" s="91"/>
      <c r="S23" s="92"/>
      <c r="U23" s="87"/>
      <c r="V23" s="88"/>
      <c r="W23" s="88"/>
      <c r="X23" s="89"/>
      <c r="Y23" s="89"/>
      <c r="AC23" s="45"/>
    </row>
    <row r="24">
      <c r="A24" s="81" t="str">
        <f t="shared" ref="A24:E24" si="3">A6</f>
        <v>2021Q4</v>
      </c>
      <c r="B24" s="82">
        <f t="shared" si="3"/>
        <v>529</v>
      </c>
      <c r="C24" s="82">
        <f t="shared" si="3"/>
        <v>818</v>
      </c>
      <c r="D24" s="82">
        <f t="shared" si="3"/>
        <v>4377010</v>
      </c>
      <c r="E24" s="82">
        <f t="shared" si="3"/>
        <v>2173325</v>
      </c>
      <c r="F24" s="83">
        <f t="shared" si="4"/>
        <v>0.1861365236</v>
      </c>
      <c r="G24" s="84">
        <f t="shared" si="5"/>
        <v>8274.120983</v>
      </c>
      <c r="H24" s="85">
        <f t="shared" ref="H24:I24" si="6">C6/B6</f>
        <v>1.5463138</v>
      </c>
      <c r="I24" s="86">
        <f t="shared" si="6"/>
        <v>5350.867971</v>
      </c>
      <c r="K24" s="93" t="s">
        <v>28</v>
      </c>
      <c r="L24" s="94">
        <v>6161.0</v>
      </c>
      <c r="M24" s="94">
        <v>7980.0</v>
      </c>
      <c r="N24" s="94">
        <v>5.0815985E7</v>
      </c>
      <c r="O24" s="94">
        <v>2.616405E7</v>
      </c>
      <c r="P24" s="83">
        <f t="shared" ref="P24:P36" si="10">H6/$H$6</f>
        <v>1</v>
      </c>
      <c r="Q24" s="84">
        <f t="shared" ref="Q24:Q36" si="11">J6/H6</f>
        <v>8248.009252</v>
      </c>
      <c r="R24" s="85">
        <f t="shared" ref="R24:S24" si="7">I6/H6</f>
        <v>1.295244279</v>
      </c>
      <c r="S24" s="86">
        <f t="shared" si="7"/>
        <v>6367.91792</v>
      </c>
      <c r="U24" s="95"/>
      <c r="V24" s="96"/>
      <c r="W24" s="96"/>
      <c r="X24" s="94"/>
      <c r="Y24" s="94"/>
      <c r="AC24" s="45"/>
    </row>
    <row r="25">
      <c r="A25" s="81" t="str">
        <f t="shared" ref="A25:E25" si="8">A7</f>
        <v>2022Q1</v>
      </c>
      <c r="B25" s="82">
        <f t="shared" si="8"/>
        <v>237</v>
      </c>
      <c r="C25" s="82">
        <f t="shared" si="8"/>
        <v>325</v>
      </c>
      <c r="D25" s="82">
        <f t="shared" si="8"/>
        <v>1908940</v>
      </c>
      <c r="E25" s="82">
        <f t="shared" si="8"/>
        <v>942755</v>
      </c>
      <c r="F25" s="83">
        <f t="shared" si="4"/>
        <v>0.08339197748</v>
      </c>
      <c r="G25" s="84">
        <f t="shared" si="5"/>
        <v>8054.599156</v>
      </c>
      <c r="H25" s="85">
        <f t="shared" ref="H25:I25" si="9">C7/B7</f>
        <v>1.371308017</v>
      </c>
      <c r="I25" s="86">
        <f t="shared" si="9"/>
        <v>5873.661538</v>
      </c>
      <c r="K25" s="93" t="s">
        <v>29</v>
      </c>
      <c r="L25" s="94">
        <v>619.0</v>
      </c>
      <c r="M25" s="94">
        <v>939.0</v>
      </c>
      <c r="N25" s="94">
        <v>5396435.0</v>
      </c>
      <c r="O25" s="94">
        <v>2596110.0</v>
      </c>
      <c r="P25" s="83">
        <f t="shared" si="10"/>
        <v>0.1004707028</v>
      </c>
      <c r="Q25" s="84">
        <f t="shared" si="11"/>
        <v>8717.988691</v>
      </c>
      <c r="R25" s="85">
        <f t="shared" ref="R25:S25" si="12">I7/H7</f>
        <v>1.516962843</v>
      </c>
      <c r="S25" s="86">
        <f t="shared" si="12"/>
        <v>5747.00213</v>
      </c>
      <c r="U25" s="95"/>
      <c r="V25" s="96"/>
      <c r="W25" s="96"/>
      <c r="X25" s="94"/>
      <c r="Y25" s="94"/>
      <c r="AC25" s="45"/>
    </row>
    <row r="26">
      <c r="A26" s="81" t="str">
        <f t="shared" ref="A26:E26" si="13">A8</f>
        <v>2022Q2</v>
      </c>
      <c r="B26" s="82">
        <f t="shared" si="13"/>
        <v>318</v>
      </c>
      <c r="C26" s="82">
        <f t="shared" si="13"/>
        <v>467</v>
      </c>
      <c r="D26" s="82">
        <f t="shared" si="13"/>
        <v>2357300</v>
      </c>
      <c r="E26" s="82">
        <f t="shared" si="13"/>
        <v>1154450</v>
      </c>
      <c r="F26" s="83">
        <f t="shared" si="4"/>
        <v>0.1118930331</v>
      </c>
      <c r="G26" s="84">
        <f t="shared" si="5"/>
        <v>7412.893082</v>
      </c>
      <c r="H26" s="85">
        <f t="shared" ref="H26:I26" si="14">C8/B8</f>
        <v>1.468553459</v>
      </c>
      <c r="I26" s="86">
        <f t="shared" si="14"/>
        <v>5047.751606</v>
      </c>
      <c r="K26" s="93" t="s">
        <v>30</v>
      </c>
      <c r="L26" s="94">
        <v>546.0</v>
      </c>
      <c r="M26" s="94">
        <v>855.0</v>
      </c>
      <c r="N26" s="94">
        <v>4014505.0</v>
      </c>
      <c r="O26" s="94">
        <v>1990010.0</v>
      </c>
      <c r="P26" s="83">
        <f t="shared" si="10"/>
        <v>0.08862197695</v>
      </c>
      <c r="Q26" s="84">
        <f t="shared" si="11"/>
        <v>7352.57326</v>
      </c>
      <c r="R26" s="85">
        <f t="shared" ref="R26:S26" si="15">I8/H8</f>
        <v>1.565934066</v>
      </c>
      <c r="S26" s="86">
        <f t="shared" si="15"/>
        <v>4695.327485</v>
      </c>
      <c r="U26" s="95"/>
      <c r="V26" s="96"/>
      <c r="W26" s="96"/>
      <c r="X26" s="94"/>
      <c r="Y26" s="94"/>
      <c r="AC26" s="45"/>
    </row>
    <row r="27">
      <c r="A27" s="81" t="str">
        <f t="shared" ref="A27:E27" si="16">A9</f>
        <v>2022Q3</v>
      </c>
      <c r="B27" s="82">
        <f t="shared" si="16"/>
        <v>317</v>
      </c>
      <c r="C27" s="82">
        <f t="shared" si="16"/>
        <v>468</v>
      </c>
      <c r="D27" s="82">
        <f t="shared" si="16"/>
        <v>2213530</v>
      </c>
      <c r="E27" s="82">
        <f t="shared" si="16"/>
        <v>1063370</v>
      </c>
      <c r="F27" s="83">
        <f t="shared" si="4"/>
        <v>0.1115411682</v>
      </c>
      <c r="G27" s="84">
        <f t="shared" si="5"/>
        <v>6982.744479</v>
      </c>
      <c r="H27" s="85">
        <f t="shared" ref="H27:I27" si="17">C9/B9</f>
        <v>1.476340694</v>
      </c>
      <c r="I27" s="86">
        <f t="shared" si="17"/>
        <v>4729.764957</v>
      </c>
      <c r="K27" s="93" t="s">
        <v>31</v>
      </c>
      <c r="L27" s="94">
        <v>451.0</v>
      </c>
      <c r="M27" s="94">
        <v>696.0</v>
      </c>
      <c r="N27" s="94">
        <v>3515930.0</v>
      </c>
      <c r="O27" s="94">
        <v>1742015.0</v>
      </c>
      <c r="P27" s="83">
        <f t="shared" si="10"/>
        <v>0.07320240221</v>
      </c>
      <c r="Q27" s="84">
        <f t="shared" si="11"/>
        <v>7795.853659</v>
      </c>
      <c r="R27" s="85">
        <f t="shared" ref="R27:S27" si="18">I9/H9</f>
        <v>1.543237251</v>
      </c>
      <c r="S27" s="86">
        <f t="shared" si="18"/>
        <v>5051.623563</v>
      </c>
      <c r="U27" s="95"/>
      <c r="V27" s="96"/>
      <c r="W27" s="96"/>
      <c r="X27" s="94"/>
      <c r="Y27" s="94"/>
      <c r="AB27" s="11"/>
      <c r="AC27" s="97"/>
    </row>
    <row r="28">
      <c r="A28" s="81" t="str">
        <f t="shared" ref="A28:E28" si="19">A10</f>
        <v>2022Q4</v>
      </c>
      <c r="B28" s="82">
        <f t="shared" si="19"/>
        <v>366</v>
      </c>
      <c r="C28" s="82">
        <f t="shared" si="19"/>
        <v>615</v>
      </c>
      <c r="D28" s="82">
        <f t="shared" si="19"/>
        <v>3017685</v>
      </c>
      <c r="E28" s="82">
        <f t="shared" si="19"/>
        <v>1435610</v>
      </c>
      <c r="F28" s="83">
        <f t="shared" si="4"/>
        <v>0.1287825475</v>
      </c>
      <c r="G28" s="84">
        <f t="shared" si="5"/>
        <v>8245.040984</v>
      </c>
      <c r="H28" s="85">
        <f t="shared" ref="H28:I28" si="20">C10/B10</f>
        <v>1.680327869</v>
      </c>
      <c r="I28" s="86">
        <f t="shared" si="20"/>
        <v>4906.804878</v>
      </c>
      <c r="K28" s="93" t="s">
        <v>32</v>
      </c>
      <c r="L28" s="94">
        <v>939.0</v>
      </c>
      <c r="M28" s="94">
        <v>1579.0</v>
      </c>
      <c r="N28" s="94">
        <v>8754185.0</v>
      </c>
      <c r="O28" s="94">
        <v>4264700.0</v>
      </c>
      <c r="P28" s="83">
        <f t="shared" si="10"/>
        <v>0.152410323</v>
      </c>
      <c r="Q28" s="84">
        <f t="shared" si="11"/>
        <v>9322.880724</v>
      </c>
      <c r="R28" s="85">
        <f t="shared" ref="R28:S28" si="21">I10/H10</f>
        <v>1.681576145</v>
      </c>
      <c r="S28" s="86">
        <f t="shared" si="21"/>
        <v>5544.132362</v>
      </c>
      <c r="U28" s="93" t="s">
        <v>32</v>
      </c>
      <c r="V28" s="94">
        <v>5881.0</v>
      </c>
      <c r="W28" s="94">
        <v>7651.0</v>
      </c>
      <c r="X28" s="94">
        <v>4.608989E7</v>
      </c>
      <c r="Y28" s="94">
        <v>2.257783E7</v>
      </c>
      <c r="Z28" s="9">
        <f t="shared" ref="Z28:Z36" si="26">N10/$N$10</f>
        <v>1</v>
      </c>
      <c r="AA28" s="98">
        <f t="shared" ref="AA28:AA36" si="27">P10/N10</f>
        <v>7837.083829</v>
      </c>
      <c r="AB28" s="11">
        <f t="shared" ref="AB28:AC28" si="22">O10/N10</f>
        <v>1.300969223</v>
      </c>
      <c r="AC28" s="97">
        <f t="shared" si="22"/>
        <v>6024.034767</v>
      </c>
    </row>
    <row r="29">
      <c r="A29" s="81" t="str">
        <f t="shared" ref="A29:E29" si="23">A11</f>
        <v>2023Q1</v>
      </c>
      <c r="B29" s="82">
        <f t="shared" si="23"/>
        <v>234</v>
      </c>
      <c r="C29" s="82">
        <f t="shared" si="23"/>
        <v>339</v>
      </c>
      <c r="D29" s="82">
        <f t="shared" si="23"/>
        <v>1575365</v>
      </c>
      <c r="E29" s="82">
        <f t="shared" si="23"/>
        <v>740795</v>
      </c>
      <c r="F29" s="83">
        <f t="shared" si="4"/>
        <v>0.08233638283</v>
      </c>
      <c r="G29" s="84">
        <f t="shared" si="5"/>
        <v>6732.32906</v>
      </c>
      <c r="H29" s="85">
        <f t="shared" ref="H29:I29" si="24">C11/B11</f>
        <v>1.448717949</v>
      </c>
      <c r="I29" s="86">
        <f t="shared" si="24"/>
        <v>4647.094395</v>
      </c>
      <c r="K29" s="93" t="s">
        <v>33</v>
      </c>
      <c r="L29" s="94">
        <v>418.0</v>
      </c>
      <c r="M29" s="94">
        <v>687.0</v>
      </c>
      <c r="N29" s="94">
        <v>3430020.0</v>
      </c>
      <c r="O29" s="94">
        <v>1596375.0</v>
      </c>
      <c r="P29" s="83">
        <f t="shared" si="10"/>
        <v>0.06784612888</v>
      </c>
      <c r="Q29" s="84">
        <f t="shared" si="11"/>
        <v>8205.789474</v>
      </c>
      <c r="R29" s="85">
        <f t="shared" ref="R29:S29" si="25">I11/H11</f>
        <v>1.64354067</v>
      </c>
      <c r="S29" s="86">
        <f t="shared" si="25"/>
        <v>4992.751092</v>
      </c>
      <c r="U29" s="93" t="s">
        <v>33</v>
      </c>
      <c r="V29" s="94">
        <v>690.0</v>
      </c>
      <c r="W29" s="94">
        <v>1011.0</v>
      </c>
      <c r="X29" s="94">
        <v>5531845.0</v>
      </c>
      <c r="Y29" s="94">
        <v>2540340.0</v>
      </c>
      <c r="Z29" s="9">
        <f t="shared" si="26"/>
        <v>0.1173269852</v>
      </c>
      <c r="AA29" s="98">
        <f t="shared" si="27"/>
        <v>8017.166667</v>
      </c>
      <c r="AB29" s="11">
        <f t="shared" ref="AB29:AC29" si="28">O11/N11</f>
        <v>1.465217391</v>
      </c>
      <c r="AC29" s="97">
        <f t="shared" si="28"/>
        <v>5471.656775</v>
      </c>
    </row>
    <row r="30">
      <c r="A30" s="81" t="str">
        <f t="shared" ref="A30:E30" si="29">A12</f>
        <v>2023Q2</v>
      </c>
      <c r="B30" s="82">
        <f t="shared" si="29"/>
        <v>254</v>
      </c>
      <c r="C30" s="82">
        <f t="shared" si="29"/>
        <v>408</v>
      </c>
      <c r="D30" s="82">
        <f t="shared" si="29"/>
        <v>1804770</v>
      </c>
      <c r="E30" s="82">
        <f t="shared" si="29"/>
        <v>868560</v>
      </c>
      <c r="F30" s="83">
        <f t="shared" si="4"/>
        <v>0.08937368051</v>
      </c>
      <c r="G30" s="84">
        <f t="shared" si="5"/>
        <v>7105.393701</v>
      </c>
      <c r="H30" s="85">
        <f t="shared" ref="H30:I30" si="30">C12/B12</f>
        <v>1.606299213</v>
      </c>
      <c r="I30" s="86">
        <f t="shared" si="30"/>
        <v>4423.455882</v>
      </c>
      <c r="K30" s="93" t="s">
        <v>34</v>
      </c>
      <c r="L30" s="94">
        <v>442.0</v>
      </c>
      <c r="M30" s="94">
        <v>738.0</v>
      </c>
      <c r="N30" s="94">
        <v>3375460.0</v>
      </c>
      <c r="O30" s="94">
        <v>1614635.0</v>
      </c>
      <c r="P30" s="83">
        <f t="shared" si="10"/>
        <v>0.07174160039</v>
      </c>
      <c r="Q30" s="84">
        <f t="shared" si="11"/>
        <v>7636.78733</v>
      </c>
      <c r="R30" s="85">
        <f t="shared" ref="R30:S30" si="31">I12/H12</f>
        <v>1.669683258</v>
      </c>
      <c r="S30" s="86">
        <f t="shared" si="31"/>
        <v>4573.794038</v>
      </c>
      <c r="U30" s="93" t="s">
        <v>34</v>
      </c>
      <c r="V30" s="94">
        <v>473.0</v>
      </c>
      <c r="W30" s="94">
        <v>675.0</v>
      </c>
      <c r="X30" s="94">
        <v>3571370.0</v>
      </c>
      <c r="Y30" s="94">
        <v>1677170.0</v>
      </c>
      <c r="Z30" s="9">
        <f t="shared" si="26"/>
        <v>0.08042849855</v>
      </c>
      <c r="AA30" s="98">
        <f t="shared" si="27"/>
        <v>7550.465116</v>
      </c>
      <c r="AB30" s="11">
        <f t="shared" ref="AB30:AC30" si="32">O12/N12</f>
        <v>1.427061311</v>
      </c>
      <c r="AC30" s="97">
        <f t="shared" si="32"/>
        <v>5290.918519</v>
      </c>
    </row>
    <row r="31">
      <c r="A31" s="81" t="str">
        <f t="shared" ref="A31:E31" si="33">A13</f>
        <v>2023Q3</v>
      </c>
      <c r="B31" s="82">
        <f t="shared" si="33"/>
        <v>269</v>
      </c>
      <c r="C31" s="82">
        <f t="shared" si="33"/>
        <v>385</v>
      </c>
      <c r="D31" s="82">
        <f t="shared" si="33"/>
        <v>1582735</v>
      </c>
      <c r="E31" s="82">
        <f t="shared" si="33"/>
        <v>742940</v>
      </c>
      <c r="F31" s="83">
        <f t="shared" si="4"/>
        <v>0.09465165376</v>
      </c>
      <c r="G31" s="84">
        <f t="shared" si="5"/>
        <v>5883.773234</v>
      </c>
      <c r="H31" s="85">
        <f t="shared" ref="H31:I31" si="34">C13/B13</f>
        <v>1.431226766</v>
      </c>
      <c r="I31" s="86">
        <f t="shared" si="34"/>
        <v>4111</v>
      </c>
      <c r="K31" s="93" t="s">
        <v>35</v>
      </c>
      <c r="L31" s="94">
        <v>430.0</v>
      </c>
      <c r="M31" s="94">
        <v>731.0</v>
      </c>
      <c r="N31" s="94">
        <v>3476385.0</v>
      </c>
      <c r="O31" s="94">
        <v>1640210.0</v>
      </c>
      <c r="P31" s="83">
        <f t="shared" si="10"/>
        <v>0.06979386463</v>
      </c>
      <c r="Q31" s="84">
        <f t="shared" si="11"/>
        <v>8084.616279</v>
      </c>
      <c r="R31" s="85">
        <f t="shared" ref="R31:S31" si="35">I13/H13</f>
        <v>1.7</v>
      </c>
      <c r="S31" s="86">
        <f t="shared" si="35"/>
        <v>4755.656635</v>
      </c>
      <c r="U31" s="93" t="s">
        <v>35</v>
      </c>
      <c r="V31" s="94">
        <v>420.0</v>
      </c>
      <c r="W31" s="94">
        <v>601.0</v>
      </c>
      <c r="X31" s="94">
        <v>2838000.0</v>
      </c>
      <c r="Y31" s="94">
        <v>1371040.0</v>
      </c>
      <c r="Z31" s="9">
        <f t="shared" si="26"/>
        <v>0.07141642578</v>
      </c>
      <c r="AA31" s="98">
        <f t="shared" si="27"/>
        <v>6757.142857</v>
      </c>
      <c r="AB31" s="11">
        <f t="shared" ref="AB31:AC31" si="36">O13/N13</f>
        <v>1.430952381</v>
      </c>
      <c r="AC31" s="97">
        <f t="shared" si="36"/>
        <v>4722.129784</v>
      </c>
    </row>
    <row r="32">
      <c r="A32" s="81" t="str">
        <f t="shared" ref="A32:E32" si="37">A14</f>
        <v>2023Q4</v>
      </c>
      <c r="B32" s="82">
        <f t="shared" si="37"/>
        <v>358</v>
      </c>
      <c r="C32" s="82">
        <f t="shared" si="37"/>
        <v>625</v>
      </c>
      <c r="D32" s="82">
        <f t="shared" si="37"/>
        <v>3222065</v>
      </c>
      <c r="E32" s="82">
        <f t="shared" si="37"/>
        <v>1519155</v>
      </c>
      <c r="F32" s="83">
        <f t="shared" si="4"/>
        <v>0.1259676284</v>
      </c>
      <c r="G32" s="84">
        <f t="shared" si="5"/>
        <v>9000.181564</v>
      </c>
      <c r="H32" s="85">
        <f t="shared" ref="H32:I32" si="38">C14/B14</f>
        <v>1.745810056</v>
      </c>
      <c r="I32" s="86">
        <f t="shared" si="38"/>
        <v>5155.304</v>
      </c>
      <c r="K32" s="93" t="s">
        <v>36</v>
      </c>
      <c r="L32" s="94">
        <v>885.0</v>
      </c>
      <c r="M32" s="94">
        <v>1542.0</v>
      </c>
      <c r="N32" s="94">
        <v>8510590.0</v>
      </c>
      <c r="O32" s="94">
        <v>4095850.0</v>
      </c>
      <c r="P32" s="83">
        <f t="shared" si="10"/>
        <v>0.1436455121</v>
      </c>
      <c r="Q32" s="84">
        <f t="shared" si="11"/>
        <v>9616.485876</v>
      </c>
      <c r="R32" s="85">
        <f t="shared" ref="R32:S32" si="39">I14/H14</f>
        <v>1.742372881</v>
      </c>
      <c r="S32" s="86">
        <f t="shared" si="39"/>
        <v>5519.189364</v>
      </c>
      <c r="U32" s="93" t="s">
        <v>36</v>
      </c>
      <c r="V32" s="94">
        <v>999.0</v>
      </c>
      <c r="W32" s="94">
        <v>1660.0</v>
      </c>
      <c r="X32" s="94">
        <v>8927160.0</v>
      </c>
      <c r="Y32" s="94">
        <v>4306665.0</v>
      </c>
      <c r="Z32" s="9">
        <f t="shared" si="26"/>
        <v>0.1698690699</v>
      </c>
      <c r="AA32" s="98">
        <f t="shared" si="27"/>
        <v>8936.096096</v>
      </c>
      <c r="AB32" s="11">
        <f t="shared" ref="AB32:AC32" si="40">O14/N14</f>
        <v>1.661661662</v>
      </c>
      <c r="AC32" s="97">
        <f t="shared" si="40"/>
        <v>5377.807229</v>
      </c>
    </row>
    <row r="33">
      <c r="A33" s="81" t="str">
        <f t="shared" ref="A33:E33" si="41">A15</f>
        <v>2024Q1</v>
      </c>
      <c r="B33" s="82">
        <f t="shared" si="41"/>
        <v>220</v>
      </c>
      <c r="C33" s="82">
        <f t="shared" si="41"/>
        <v>323</v>
      </c>
      <c r="D33" s="82">
        <f t="shared" si="41"/>
        <v>1638945</v>
      </c>
      <c r="E33" s="82">
        <f t="shared" si="41"/>
        <v>766755</v>
      </c>
      <c r="F33" s="83">
        <f t="shared" si="4"/>
        <v>0.07741027445</v>
      </c>
      <c r="G33" s="84">
        <f t="shared" si="5"/>
        <v>7449.75</v>
      </c>
      <c r="H33" s="85">
        <f t="shared" ref="H33:I33" si="42">C15/B15</f>
        <v>1.468181818</v>
      </c>
      <c r="I33" s="86">
        <f t="shared" si="42"/>
        <v>5074.133127</v>
      </c>
      <c r="K33" s="93" t="s">
        <v>37</v>
      </c>
      <c r="L33" s="94">
        <v>381.0</v>
      </c>
      <c r="M33" s="94">
        <v>625.0</v>
      </c>
      <c r="N33" s="94">
        <v>3439535.0</v>
      </c>
      <c r="O33" s="94">
        <v>1651705.0</v>
      </c>
      <c r="P33" s="83">
        <f t="shared" si="10"/>
        <v>0.06184061029</v>
      </c>
      <c r="Q33" s="84">
        <f t="shared" si="11"/>
        <v>9027.650919</v>
      </c>
      <c r="R33" s="85">
        <f t="shared" ref="R33:S33" si="43">I15/H15</f>
        <v>1.640419948</v>
      </c>
      <c r="S33" s="86">
        <f t="shared" si="43"/>
        <v>5503.256</v>
      </c>
      <c r="U33" s="93" t="s">
        <v>37</v>
      </c>
      <c r="V33" s="94">
        <v>387.0</v>
      </c>
      <c r="W33" s="94">
        <v>562.0</v>
      </c>
      <c r="X33" s="94">
        <v>3135275.0</v>
      </c>
      <c r="Y33" s="94">
        <v>1509805.0</v>
      </c>
      <c r="Z33" s="9">
        <f t="shared" si="26"/>
        <v>0.06580513518</v>
      </c>
      <c r="AA33" s="98">
        <f t="shared" si="27"/>
        <v>8101.485788</v>
      </c>
      <c r="AB33" s="11">
        <f t="shared" ref="AB33:AC33" si="44">O15/N15</f>
        <v>1.452196382</v>
      </c>
      <c r="AC33" s="97">
        <f t="shared" si="44"/>
        <v>5578.781139</v>
      </c>
    </row>
    <row r="34">
      <c r="A34" s="81" t="str">
        <f t="shared" ref="A34:E34" si="45">A16</f>
        <v>2024Q2</v>
      </c>
      <c r="B34" s="82">
        <f t="shared" si="45"/>
        <v>224</v>
      </c>
      <c r="C34" s="82">
        <f t="shared" si="45"/>
        <v>338</v>
      </c>
      <c r="D34" s="82">
        <f t="shared" si="45"/>
        <v>1742675</v>
      </c>
      <c r="E34" s="82">
        <f t="shared" si="45"/>
        <v>828905</v>
      </c>
      <c r="F34" s="83">
        <f t="shared" si="4"/>
        <v>0.07881773399</v>
      </c>
      <c r="G34" s="84">
        <f t="shared" si="5"/>
        <v>7779.799107</v>
      </c>
      <c r="H34" s="85">
        <f t="shared" ref="H34:I34" si="46">C16/B16</f>
        <v>1.508928571</v>
      </c>
      <c r="I34" s="86">
        <f t="shared" si="46"/>
        <v>5155.843195</v>
      </c>
      <c r="K34" s="93" t="s">
        <v>38</v>
      </c>
      <c r="L34" s="94">
        <v>384.0</v>
      </c>
      <c r="M34" s="94">
        <v>654.0</v>
      </c>
      <c r="N34" s="94">
        <v>3467475.0</v>
      </c>
      <c r="O34" s="94">
        <v>1650495.0</v>
      </c>
      <c r="P34" s="83">
        <f t="shared" si="10"/>
        <v>0.06232754423</v>
      </c>
      <c r="Q34" s="84">
        <f t="shared" si="11"/>
        <v>9029.882813</v>
      </c>
      <c r="R34" s="85">
        <f t="shared" ref="R34:S34" si="47">I16/H16</f>
        <v>1.703125</v>
      </c>
      <c r="S34" s="86">
        <f t="shared" si="47"/>
        <v>5301.949541</v>
      </c>
      <c r="U34" s="93" t="s">
        <v>38</v>
      </c>
      <c r="V34" s="94">
        <v>343.0</v>
      </c>
      <c r="W34" s="94">
        <v>522.0</v>
      </c>
      <c r="X34" s="94">
        <v>2546775.0</v>
      </c>
      <c r="Y34" s="94">
        <v>1241075.0</v>
      </c>
      <c r="Z34" s="9">
        <f t="shared" si="26"/>
        <v>0.05832341439</v>
      </c>
      <c r="AA34" s="98">
        <f t="shared" si="27"/>
        <v>7425</v>
      </c>
      <c r="AB34" s="11">
        <f t="shared" ref="AB34:AC34" si="48">O16/N16</f>
        <v>1.521865889</v>
      </c>
      <c r="AC34" s="97">
        <f t="shared" si="48"/>
        <v>4878.87931</v>
      </c>
    </row>
    <row r="35">
      <c r="A35" s="99" t="s">
        <v>39</v>
      </c>
      <c r="B35" s="82">
        <f t="shared" ref="B35:E35" si="49">B17</f>
        <v>230</v>
      </c>
      <c r="C35" s="82">
        <f t="shared" si="49"/>
        <v>349</v>
      </c>
      <c r="D35" s="82">
        <f t="shared" si="49"/>
        <v>1446720</v>
      </c>
      <c r="E35" s="82">
        <f t="shared" si="49"/>
        <v>692780</v>
      </c>
      <c r="F35" s="83">
        <f t="shared" si="4"/>
        <v>0.08092892329</v>
      </c>
      <c r="G35" s="84">
        <f t="shared" si="5"/>
        <v>6290.086957</v>
      </c>
      <c r="H35" s="85">
        <f t="shared" ref="H35:I35" si="50">C17/B17</f>
        <v>1.517391304</v>
      </c>
      <c r="I35" s="86">
        <f t="shared" si="50"/>
        <v>4145.329513</v>
      </c>
      <c r="K35" s="93" t="s">
        <v>39</v>
      </c>
      <c r="L35" s="94">
        <v>351.0</v>
      </c>
      <c r="M35" s="94">
        <v>561.0</v>
      </c>
      <c r="N35" s="94">
        <v>2413840.0</v>
      </c>
      <c r="O35" s="94">
        <v>1158025.0</v>
      </c>
      <c r="P35" s="83">
        <f t="shared" si="10"/>
        <v>0.0569712709</v>
      </c>
      <c r="Q35" s="84">
        <f t="shared" si="11"/>
        <v>6877.037037</v>
      </c>
      <c r="R35" s="85">
        <f t="shared" ref="R35:S35" si="51">I17/H17</f>
        <v>1.598290598</v>
      </c>
      <c r="S35" s="86">
        <f t="shared" si="51"/>
        <v>4302.745098</v>
      </c>
      <c r="U35" s="93" t="s">
        <v>39</v>
      </c>
      <c r="V35" s="94">
        <v>356.0</v>
      </c>
      <c r="W35" s="94">
        <v>518.0</v>
      </c>
      <c r="X35" s="94">
        <v>2251975.0</v>
      </c>
      <c r="Y35" s="94">
        <v>1074480.0</v>
      </c>
      <c r="Z35" s="9">
        <f t="shared" si="26"/>
        <v>0.0605339228</v>
      </c>
      <c r="AA35" s="98">
        <f t="shared" si="27"/>
        <v>6325.772472</v>
      </c>
      <c r="AB35" s="11">
        <f t="shared" ref="AB35:AC35" si="52">O17/N17</f>
        <v>1.45505618</v>
      </c>
      <c r="AC35" s="97">
        <f t="shared" si="52"/>
        <v>4347.442085</v>
      </c>
    </row>
    <row r="36">
      <c r="A36" s="100" t="str">
        <f t="shared" ref="A36:E36" si="53">A18</f>
        <v>2024Q4</v>
      </c>
      <c r="B36" s="101">
        <f t="shared" si="53"/>
        <v>311</v>
      </c>
      <c r="C36" s="101">
        <f t="shared" si="53"/>
        <v>523</v>
      </c>
      <c r="D36" s="101">
        <f t="shared" si="53"/>
        <v>2693735</v>
      </c>
      <c r="E36" s="101">
        <f t="shared" si="53"/>
        <v>1293325</v>
      </c>
      <c r="F36" s="102">
        <f t="shared" si="4"/>
        <v>0.1094299789</v>
      </c>
      <c r="G36" s="103">
        <f t="shared" si="5"/>
        <v>8661.527331</v>
      </c>
      <c r="H36" s="104">
        <f t="shared" ref="H36:I36" si="54">C18/B18</f>
        <v>1.681672026</v>
      </c>
      <c r="I36" s="105">
        <f t="shared" si="54"/>
        <v>5150.544933</v>
      </c>
      <c r="K36" s="106" t="s">
        <v>40</v>
      </c>
      <c r="L36" s="107">
        <v>743.0</v>
      </c>
      <c r="M36" s="107">
        <v>1364.0</v>
      </c>
      <c r="N36" s="107">
        <v>7542645.0</v>
      </c>
      <c r="O36" s="107">
        <v>3669875.0</v>
      </c>
      <c r="P36" s="102">
        <f t="shared" si="10"/>
        <v>0.1205973056</v>
      </c>
      <c r="Q36" s="103">
        <f t="shared" si="11"/>
        <v>10151.60834</v>
      </c>
      <c r="R36" s="104">
        <f t="shared" ref="R36:S36" si="55">I18/H18</f>
        <v>1.835800808</v>
      </c>
      <c r="S36" s="105">
        <f t="shared" si="55"/>
        <v>5529.798387</v>
      </c>
      <c r="U36" s="106" t="s">
        <v>40</v>
      </c>
      <c r="V36" s="107">
        <v>778.0</v>
      </c>
      <c r="W36" s="107">
        <v>1300.0</v>
      </c>
      <c r="X36" s="107">
        <v>7285410.0</v>
      </c>
      <c r="Y36" s="107">
        <v>3469510.0</v>
      </c>
      <c r="Z36" s="22">
        <f t="shared" si="26"/>
        <v>0.1322904268</v>
      </c>
      <c r="AA36" s="108">
        <f t="shared" si="27"/>
        <v>9364.280206</v>
      </c>
      <c r="AB36" s="24">
        <f t="shared" ref="AB36:AC36" si="56">O18/N18</f>
        <v>1.670951157</v>
      </c>
      <c r="AC36" s="109">
        <f t="shared" si="56"/>
        <v>5604.161538</v>
      </c>
    </row>
    <row r="38">
      <c r="A38" s="110" t="str">
        <f t="shared" ref="A38:A53" si="57">A21</f>
        <v/>
      </c>
    </row>
    <row r="39">
      <c r="A39" s="111" t="str">
        <f t="shared" si="57"/>
        <v>Quarter</v>
      </c>
      <c r="B39" s="112" t="s">
        <v>45</v>
      </c>
      <c r="C39" s="112" t="s">
        <v>46</v>
      </c>
      <c r="D39" s="112" t="s">
        <v>47</v>
      </c>
      <c r="E39" s="112" t="s">
        <v>45</v>
      </c>
      <c r="F39" s="112" t="s">
        <v>46</v>
      </c>
      <c r="G39" s="112" t="s">
        <v>47</v>
      </c>
      <c r="H39" s="112" t="s">
        <v>45</v>
      </c>
      <c r="I39" s="112" t="s">
        <v>46</v>
      </c>
      <c r="J39" s="113" t="s">
        <v>47</v>
      </c>
    </row>
    <row r="40">
      <c r="A40" s="114" t="str">
        <f t="shared" si="57"/>
        <v>2021Q3</v>
      </c>
      <c r="B40" s="83">
        <f t="shared" ref="B40:B53" si="58">F23</f>
        <v>1</v>
      </c>
      <c r="E40" s="84">
        <f t="shared" ref="E40:E53" si="59">G23</f>
        <v>6638.298733</v>
      </c>
      <c r="F40" s="115"/>
      <c r="G40" s="115"/>
      <c r="H40" s="84">
        <f t="shared" ref="H40:H53" si="60">I23</f>
        <v>5250.777901</v>
      </c>
      <c r="I40" s="115"/>
      <c r="J40" s="116"/>
    </row>
    <row r="41">
      <c r="A41" s="114" t="str">
        <f t="shared" si="57"/>
        <v>2021Q4</v>
      </c>
      <c r="B41" s="83">
        <f t="shared" si="58"/>
        <v>0.1861365236</v>
      </c>
      <c r="C41" s="83">
        <f t="shared" ref="C41:C53" si="61">P24</f>
        <v>1</v>
      </c>
      <c r="D41" s="90"/>
      <c r="E41" s="84">
        <f t="shared" si="59"/>
        <v>8274.120983</v>
      </c>
      <c r="F41" s="84">
        <f t="shared" ref="F41:F53" si="62">Q24</f>
        <v>8248.009252</v>
      </c>
      <c r="G41" s="115"/>
      <c r="H41" s="84">
        <f t="shared" si="60"/>
        <v>5350.867971</v>
      </c>
      <c r="I41" s="84">
        <f t="shared" ref="I41:I53" si="63">S24</f>
        <v>6367.91792</v>
      </c>
      <c r="J41" s="116"/>
    </row>
    <row r="42">
      <c r="A42" s="114" t="str">
        <f t="shared" si="57"/>
        <v>2022Q1</v>
      </c>
      <c r="B42" s="83">
        <f t="shared" si="58"/>
        <v>0.08339197748</v>
      </c>
      <c r="C42" s="83">
        <f t="shared" si="61"/>
        <v>0.1004707028</v>
      </c>
      <c r="D42" s="90"/>
      <c r="E42" s="84">
        <f t="shared" si="59"/>
        <v>8054.599156</v>
      </c>
      <c r="F42" s="84">
        <f t="shared" si="62"/>
        <v>8717.988691</v>
      </c>
      <c r="G42" s="115"/>
      <c r="H42" s="84">
        <f t="shared" si="60"/>
        <v>5873.661538</v>
      </c>
      <c r="I42" s="84">
        <f t="shared" si="63"/>
        <v>5747.00213</v>
      </c>
      <c r="J42" s="116"/>
    </row>
    <row r="43">
      <c r="A43" s="114" t="str">
        <f t="shared" si="57"/>
        <v>2022Q2</v>
      </c>
      <c r="B43" s="83">
        <f t="shared" si="58"/>
        <v>0.1118930331</v>
      </c>
      <c r="C43" s="83">
        <f t="shared" si="61"/>
        <v>0.08862197695</v>
      </c>
      <c r="D43" s="90"/>
      <c r="E43" s="84">
        <f t="shared" si="59"/>
        <v>7412.893082</v>
      </c>
      <c r="F43" s="84">
        <f t="shared" si="62"/>
        <v>7352.57326</v>
      </c>
      <c r="G43" s="115"/>
      <c r="H43" s="84">
        <f t="shared" si="60"/>
        <v>5047.751606</v>
      </c>
      <c r="I43" s="84">
        <f t="shared" si="63"/>
        <v>4695.327485</v>
      </c>
      <c r="J43" s="116"/>
    </row>
    <row r="44">
      <c r="A44" s="114" t="str">
        <f t="shared" si="57"/>
        <v>2022Q3</v>
      </c>
      <c r="B44" s="83">
        <f t="shared" si="58"/>
        <v>0.1115411682</v>
      </c>
      <c r="C44" s="83">
        <f t="shared" si="61"/>
        <v>0.07320240221</v>
      </c>
      <c r="D44" s="90"/>
      <c r="E44" s="84">
        <f t="shared" si="59"/>
        <v>6982.744479</v>
      </c>
      <c r="F44" s="84">
        <f t="shared" si="62"/>
        <v>7795.853659</v>
      </c>
      <c r="G44" s="115"/>
      <c r="H44" s="84">
        <f t="shared" si="60"/>
        <v>4729.764957</v>
      </c>
      <c r="I44" s="84">
        <f t="shared" si="63"/>
        <v>5051.623563</v>
      </c>
      <c r="J44" s="116"/>
    </row>
    <row r="45">
      <c r="A45" s="114" t="str">
        <f t="shared" si="57"/>
        <v>2022Q4</v>
      </c>
      <c r="B45" s="83">
        <f t="shared" si="58"/>
        <v>0.1287825475</v>
      </c>
      <c r="C45" s="83">
        <f t="shared" si="61"/>
        <v>0.152410323</v>
      </c>
      <c r="D45" s="83">
        <f t="shared" ref="D45:D53" si="64">Z28</f>
        <v>1</v>
      </c>
      <c r="E45" s="84">
        <f t="shared" si="59"/>
        <v>8245.040984</v>
      </c>
      <c r="F45" s="84">
        <f t="shared" si="62"/>
        <v>9322.880724</v>
      </c>
      <c r="G45" s="84">
        <f t="shared" ref="G45:G53" si="65">AA28</f>
        <v>7837.083829</v>
      </c>
      <c r="H45" s="84">
        <f t="shared" si="60"/>
        <v>4906.804878</v>
      </c>
      <c r="I45" s="84">
        <f t="shared" si="63"/>
        <v>5544.132362</v>
      </c>
      <c r="J45" s="86">
        <f t="shared" ref="J45:J53" si="66">AC28</f>
        <v>6024.034767</v>
      </c>
    </row>
    <row r="46">
      <c r="A46" s="114" t="str">
        <f t="shared" si="57"/>
        <v>2023Q1</v>
      </c>
      <c r="B46" s="83">
        <f t="shared" si="58"/>
        <v>0.08233638283</v>
      </c>
      <c r="C46" s="83">
        <f t="shared" si="61"/>
        <v>0.06784612888</v>
      </c>
      <c r="D46" s="83">
        <f t="shared" si="64"/>
        <v>0.1173269852</v>
      </c>
      <c r="E46" s="84">
        <f t="shared" si="59"/>
        <v>6732.32906</v>
      </c>
      <c r="F46" s="84">
        <f t="shared" si="62"/>
        <v>8205.789474</v>
      </c>
      <c r="G46" s="84">
        <f t="shared" si="65"/>
        <v>8017.166667</v>
      </c>
      <c r="H46" s="84">
        <f t="shared" si="60"/>
        <v>4647.094395</v>
      </c>
      <c r="I46" s="84">
        <f t="shared" si="63"/>
        <v>4992.751092</v>
      </c>
      <c r="J46" s="86">
        <f t="shared" si="66"/>
        <v>5471.656775</v>
      </c>
    </row>
    <row r="47">
      <c r="A47" s="114" t="str">
        <f t="shared" si="57"/>
        <v>2023Q2</v>
      </c>
      <c r="B47" s="83">
        <f t="shared" si="58"/>
        <v>0.08937368051</v>
      </c>
      <c r="C47" s="83">
        <f t="shared" si="61"/>
        <v>0.07174160039</v>
      </c>
      <c r="D47" s="83">
        <f t="shared" si="64"/>
        <v>0.08042849855</v>
      </c>
      <c r="E47" s="84">
        <f t="shared" si="59"/>
        <v>7105.393701</v>
      </c>
      <c r="F47" s="84">
        <f t="shared" si="62"/>
        <v>7636.78733</v>
      </c>
      <c r="G47" s="84">
        <f t="shared" si="65"/>
        <v>7550.465116</v>
      </c>
      <c r="H47" s="84">
        <f t="shared" si="60"/>
        <v>4423.455882</v>
      </c>
      <c r="I47" s="84">
        <f t="shared" si="63"/>
        <v>4573.794038</v>
      </c>
      <c r="J47" s="86">
        <f t="shared" si="66"/>
        <v>5290.918519</v>
      </c>
    </row>
    <row r="48">
      <c r="A48" s="114" t="str">
        <f t="shared" si="57"/>
        <v>2023Q3</v>
      </c>
      <c r="B48" s="83">
        <f t="shared" si="58"/>
        <v>0.09465165376</v>
      </c>
      <c r="C48" s="83">
        <f t="shared" si="61"/>
        <v>0.06979386463</v>
      </c>
      <c r="D48" s="83">
        <f t="shared" si="64"/>
        <v>0.07141642578</v>
      </c>
      <c r="E48" s="84">
        <f t="shared" si="59"/>
        <v>5883.773234</v>
      </c>
      <c r="F48" s="84">
        <f t="shared" si="62"/>
        <v>8084.616279</v>
      </c>
      <c r="G48" s="84">
        <f t="shared" si="65"/>
        <v>6757.142857</v>
      </c>
      <c r="H48" s="84">
        <f t="shared" si="60"/>
        <v>4111</v>
      </c>
      <c r="I48" s="84">
        <f t="shared" si="63"/>
        <v>4755.656635</v>
      </c>
      <c r="J48" s="86">
        <f t="shared" si="66"/>
        <v>4722.129784</v>
      </c>
    </row>
    <row r="49">
      <c r="A49" s="114" t="str">
        <f t="shared" si="57"/>
        <v>2023Q4</v>
      </c>
      <c r="B49" s="83">
        <f t="shared" si="58"/>
        <v>0.1259676284</v>
      </c>
      <c r="C49" s="83">
        <f t="shared" si="61"/>
        <v>0.1436455121</v>
      </c>
      <c r="D49" s="83">
        <f t="shared" si="64"/>
        <v>0.1698690699</v>
      </c>
      <c r="E49" s="84">
        <f t="shared" si="59"/>
        <v>9000.181564</v>
      </c>
      <c r="F49" s="84">
        <f t="shared" si="62"/>
        <v>9616.485876</v>
      </c>
      <c r="G49" s="84">
        <f t="shared" si="65"/>
        <v>8936.096096</v>
      </c>
      <c r="H49" s="84">
        <f t="shared" si="60"/>
        <v>5155.304</v>
      </c>
      <c r="I49" s="84">
        <f t="shared" si="63"/>
        <v>5519.189364</v>
      </c>
      <c r="J49" s="86">
        <f t="shared" si="66"/>
        <v>5377.807229</v>
      </c>
    </row>
    <row r="50">
      <c r="A50" s="114" t="str">
        <f t="shared" si="57"/>
        <v>2024Q1</v>
      </c>
      <c r="B50" s="83">
        <f t="shared" si="58"/>
        <v>0.07741027445</v>
      </c>
      <c r="C50" s="83">
        <f t="shared" si="61"/>
        <v>0.06184061029</v>
      </c>
      <c r="D50" s="83">
        <f t="shared" si="64"/>
        <v>0.06580513518</v>
      </c>
      <c r="E50" s="84">
        <f t="shared" si="59"/>
        <v>7449.75</v>
      </c>
      <c r="F50" s="84">
        <f t="shared" si="62"/>
        <v>9027.650919</v>
      </c>
      <c r="G50" s="84">
        <f t="shared" si="65"/>
        <v>8101.485788</v>
      </c>
      <c r="H50" s="84">
        <f t="shared" si="60"/>
        <v>5074.133127</v>
      </c>
      <c r="I50" s="84">
        <f t="shared" si="63"/>
        <v>5503.256</v>
      </c>
      <c r="J50" s="86">
        <f t="shared" si="66"/>
        <v>5578.781139</v>
      </c>
    </row>
    <row r="51">
      <c r="A51" s="114" t="str">
        <f t="shared" si="57"/>
        <v>2024Q2</v>
      </c>
      <c r="B51" s="83">
        <f t="shared" si="58"/>
        <v>0.07881773399</v>
      </c>
      <c r="C51" s="83">
        <f t="shared" si="61"/>
        <v>0.06232754423</v>
      </c>
      <c r="D51" s="83">
        <f t="shared" si="64"/>
        <v>0.05832341439</v>
      </c>
      <c r="E51" s="84">
        <f t="shared" si="59"/>
        <v>7779.799107</v>
      </c>
      <c r="F51" s="84">
        <f t="shared" si="62"/>
        <v>9029.882813</v>
      </c>
      <c r="G51" s="84">
        <f t="shared" si="65"/>
        <v>7425</v>
      </c>
      <c r="H51" s="84">
        <f t="shared" si="60"/>
        <v>5155.843195</v>
      </c>
      <c r="I51" s="84">
        <f t="shared" si="63"/>
        <v>5301.949541</v>
      </c>
      <c r="J51" s="86">
        <f t="shared" si="66"/>
        <v>4878.87931</v>
      </c>
    </row>
    <row r="52">
      <c r="A52" s="117" t="str">
        <f t="shared" si="57"/>
        <v>2024Q3</v>
      </c>
      <c r="B52" s="83">
        <f t="shared" si="58"/>
        <v>0.08092892329</v>
      </c>
      <c r="C52" s="83">
        <f t="shared" si="61"/>
        <v>0.0569712709</v>
      </c>
      <c r="D52" s="83">
        <f t="shared" si="64"/>
        <v>0.0605339228</v>
      </c>
      <c r="E52" s="84">
        <f t="shared" si="59"/>
        <v>6290.086957</v>
      </c>
      <c r="F52" s="84">
        <f t="shared" si="62"/>
        <v>6877.037037</v>
      </c>
      <c r="G52" s="84">
        <f t="shared" si="65"/>
        <v>6325.772472</v>
      </c>
      <c r="H52" s="84">
        <f t="shared" si="60"/>
        <v>4145.329513</v>
      </c>
      <c r="I52" s="84">
        <f t="shared" si="63"/>
        <v>4302.745098</v>
      </c>
      <c r="J52" s="86">
        <f t="shared" si="66"/>
        <v>4347.442085</v>
      </c>
    </row>
    <row r="53">
      <c r="A53" s="118" t="str">
        <f t="shared" si="57"/>
        <v>2024Q4</v>
      </c>
      <c r="B53" s="102">
        <f t="shared" si="58"/>
        <v>0.1094299789</v>
      </c>
      <c r="C53" s="102">
        <f t="shared" si="61"/>
        <v>0.1205973056</v>
      </c>
      <c r="D53" s="102">
        <f t="shared" si="64"/>
        <v>0.1322904268</v>
      </c>
      <c r="E53" s="103">
        <f t="shared" si="59"/>
        <v>8661.527331</v>
      </c>
      <c r="F53" s="103">
        <f t="shared" si="62"/>
        <v>10151.60834</v>
      </c>
      <c r="G53" s="103">
        <f t="shared" si="65"/>
        <v>9364.280206</v>
      </c>
      <c r="H53" s="103">
        <f t="shared" si="60"/>
        <v>5150.544933</v>
      </c>
      <c r="I53" s="103">
        <f t="shared" si="63"/>
        <v>5529.798387</v>
      </c>
      <c r="J53" s="105">
        <f t="shared" si="66"/>
        <v>5604.161538</v>
      </c>
    </row>
    <row r="56">
      <c r="A56" s="119" t="s">
        <v>50</v>
      </c>
      <c r="B56" s="37"/>
      <c r="C56" s="120"/>
    </row>
    <row r="57">
      <c r="A57" s="50"/>
      <c r="C57" s="44"/>
      <c r="I57" s="119" t="s">
        <v>51</v>
      </c>
      <c r="J57" s="37"/>
      <c r="K57" s="37"/>
      <c r="L57" s="120"/>
    </row>
    <row r="58">
      <c r="A58" s="50"/>
      <c r="C58" s="44"/>
      <c r="I58" s="50"/>
      <c r="L58" s="44"/>
    </row>
    <row r="59">
      <c r="A59" s="50"/>
      <c r="C59" s="44"/>
      <c r="I59" s="50"/>
      <c r="L59" s="44"/>
    </row>
    <row r="60">
      <c r="A60" s="50"/>
      <c r="C60" s="44"/>
      <c r="I60" s="50"/>
      <c r="L60" s="44"/>
    </row>
    <row r="61">
      <c r="A61" s="50"/>
      <c r="C61" s="44"/>
      <c r="I61" s="50"/>
      <c r="L61" s="44"/>
    </row>
    <row r="62">
      <c r="A62" s="50"/>
      <c r="C62" s="44"/>
      <c r="I62" s="50"/>
      <c r="L62" s="44"/>
    </row>
    <row r="63">
      <c r="A63" s="51"/>
      <c r="B63" s="47"/>
      <c r="C63" s="48"/>
      <c r="I63" s="50"/>
      <c r="L63" s="44"/>
    </row>
    <row r="64">
      <c r="I64" s="51"/>
      <c r="J64" s="47"/>
      <c r="K64" s="47"/>
      <c r="L64" s="48"/>
    </row>
    <row r="70">
      <c r="A70" s="121" t="s">
        <v>52</v>
      </c>
      <c r="B70" s="122"/>
      <c r="C70" s="122"/>
      <c r="D70" s="64"/>
      <c r="E70" s="38"/>
      <c r="F70" s="38"/>
      <c r="G70" s="38"/>
      <c r="H70" s="39"/>
    </row>
    <row r="71">
      <c r="A71" s="123"/>
      <c r="B71" s="124"/>
      <c r="C71" s="124"/>
      <c r="D71" s="124"/>
      <c r="E71" s="124"/>
      <c r="H71" s="45"/>
      <c r="K71" s="119" t="s">
        <v>53</v>
      </c>
      <c r="L71" s="37"/>
      <c r="M71" s="37"/>
      <c r="N71" s="120"/>
    </row>
    <row r="72">
      <c r="A72" s="123" t="s">
        <v>54</v>
      </c>
      <c r="B72" s="124"/>
      <c r="C72" s="124"/>
      <c r="D72" s="124"/>
      <c r="E72" s="124"/>
      <c r="F72" s="124"/>
      <c r="G72" s="124"/>
      <c r="H72" s="125"/>
      <c r="K72" s="50"/>
      <c r="N72" s="44"/>
    </row>
    <row r="73">
      <c r="A73" s="126"/>
      <c r="B73" s="124"/>
      <c r="C73" s="124"/>
      <c r="D73" s="124"/>
      <c r="E73" s="124"/>
      <c r="F73" s="124"/>
      <c r="G73" s="124"/>
      <c r="H73" s="125"/>
      <c r="K73" s="50"/>
      <c r="N73" s="44"/>
    </row>
    <row r="74">
      <c r="A74" s="43" t="s">
        <v>55</v>
      </c>
      <c r="H74" s="44"/>
      <c r="K74" s="50"/>
      <c r="N74" s="44"/>
    </row>
    <row r="75">
      <c r="A75" s="127"/>
      <c r="B75" s="128"/>
      <c r="C75" s="128"/>
      <c r="D75" s="128"/>
      <c r="E75" s="128"/>
      <c r="F75" s="128"/>
      <c r="G75" s="128"/>
      <c r="H75" s="125"/>
      <c r="K75" s="51"/>
      <c r="L75" s="47"/>
      <c r="M75" s="47"/>
      <c r="N75" s="48"/>
    </row>
    <row r="76">
      <c r="A76" s="43" t="s">
        <v>56</v>
      </c>
      <c r="H76" s="44"/>
    </row>
    <row r="77">
      <c r="A77" s="129"/>
      <c r="B77" s="128"/>
      <c r="C77" s="128"/>
      <c r="D77" s="128"/>
      <c r="E77" s="128"/>
      <c r="F77" s="128"/>
      <c r="G77" s="128"/>
      <c r="H77" s="125"/>
    </row>
    <row r="78">
      <c r="A78" s="43" t="s">
        <v>57</v>
      </c>
      <c r="H78" s="44"/>
    </row>
    <row r="79">
      <c r="A79" s="129"/>
      <c r="H79" s="44"/>
    </row>
    <row r="80">
      <c r="A80" s="46" t="s">
        <v>58</v>
      </c>
      <c r="B80" s="47"/>
      <c r="C80" s="47"/>
      <c r="D80" s="47"/>
      <c r="E80" s="47"/>
      <c r="F80" s="47"/>
      <c r="G80" s="47"/>
      <c r="H80" s="48"/>
    </row>
  </sheetData>
  <mergeCells count="8">
    <mergeCell ref="A56:C63"/>
    <mergeCell ref="I57:L64"/>
    <mergeCell ref="K71:N75"/>
    <mergeCell ref="A74:H74"/>
    <mergeCell ref="A76:H76"/>
    <mergeCell ref="A78:H78"/>
    <mergeCell ref="A79:H79"/>
    <mergeCell ref="A80:H80"/>
  </mergeCells>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5" max="5" width="10.25"/>
    <col customWidth="1" min="13" max="13" width="21.13"/>
    <col customWidth="1" min="21" max="21" width="20.38"/>
  </cols>
  <sheetData>
    <row r="1">
      <c r="A1" s="130" t="s">
        <v>3</v>
      </c>
      <c r="B1" s="72"/>
      <c r="C1" s="72"/>
      <c r="D1" s="72"/>
      <c r="E1" s="72"/>
      <c r="G1" s="131"/>
      <c r="H1" s="131"/>
      <c r="I1" s="131"/>
      <c r="J1" s="121" t="s">
        <v>59</v>
      </c>
      <c r="K1" s="64"/>
      <c r="L1" s="64"/>
      <c r="M1" s="64"/>
      <c r="N1" s="64"/>
      <c r="O1" s="64"/>
      <c r="P1" s="132"/>
    </row>
    <row r="2">
      <c r="A2" s="72"/>
      <c r="B2" s="133">
        <v>2021.0</v>
      </c>
      <c r="C2" s="133">
        <v>2022.0</v>
      </c>
      <c r="D2" s="133">
        <v>2023.0</v>
      </c>
      <c r="E2" s="133">
        <v>2024.0</v>
      </c>
      <c r="J2" s="65"/>
      <c r="P2" s="45"/>
    </row>
    <row r="3">
      <c r="A3" s="61" t="s">
        <v>60</v>
      </c>
      <c r="B3" s="17">
        <v>7.5539904E7</v>
      </c>
      <c r="C3" s="17">
        <v>6.171330550000001E7</v>
      </c>
      <c r="D3" s="17">
        <v>5.75353625E7</v>
      </c>
      <c r="E3" s="17">
        <v>5.54779225E7</v>
      </c>
      <c r="G3" s="134"/>
      <c r="H3" s="134"/>
      <c r="I3" s="134"/>
      <c r="J3" s="43" t="s">
        <v>61</v>
      </c>
      <c r="P3" s="44"/>
    </row>
    <row r="4">
      <c r="A4" s="61">
        <v>2021.0</v>
      </c>
      <c r="B4" s="17">
        <v>1.3186955649999999E8</v>
      </c>
      <c r="C4" s="17">
        <v>5.2597105E7</v>
      </c>
      <c r="D4" s="17">
        <v>4.5025838E7</v>
      </c>
      <c r="E4" s="17">
        <v>4.1006845E7</v>
      </c>
      <c r="G4" s="128"/>
      <c r="H4" s="128"/>
      <c r="I4" s="128"/>
      <c r="J4" s="129"/>
      <c r="K4" s="128"/>
      <c r="L4" s="128"/>
      <c r="M4" s="124"/>
      <c r="N4" s="124"/>
      <c r="O4" s="124"/>
      <c r="P4" s="125"/>
    </row>
    <row r="5">
      <c r="A5" s="61">
        <v>2022.0</v>
      </c>
      <c r="B5" s="17">
        <v>0.0</v>
      </c>
      <c r="C5" s="17">
        <v>1.061519525E8</v>
      </c>
      <c r="D5" s="17">
        <v>4.0414088E7</v>
      </c>
      <c r="E5" s="17">
        <v>3.1974173E7</v>
      </c>
      <c r="G5" s="134"/>
      <c r="H5" s="134"/>
      <c r="I5" s="134"/>
      <c r="J5" s="43" t="s">
        <v>62</v>
      </c>
      <c r="P5" s="44"/>
    </row>
    <row r="6">
      <c r="A6" s="61">
        <v>2023.0</v>
      </c>
      <c r="B6" s="17">
        <v>0.0</v>
      </c>
      <c r="C6" s="17">
        <v>0.0</v>
      </c>
      <c r="D6" s="17">
        <v>1.2317463399999999E8</v>
      </c>
      <c r="E6" s="17">
        <v>4.4414436E7</v>
      </c>
      <c r="G6" s="128"/>
      <c r="H6" s="128"/>
      <c r="I6" s="128"/>
      <c r="J6" s="129"/>
      <c r="K6" s="128"/>
      <c r="L6" s="128"/>
      <c r="M6" s="124"/>
      <c r="N6" s="124"/>
      <c r="O6" s="124"/>
      <c r="P6" s="125"/>
    </row>
    <row r="7">
      <c r="A7" s="61">
        <v>2024.0</v>
      </c>
      <c r="B7" s="17">
        <v>0.0</v>
      </c>
      <c r="C7" s="17">
        <v>0.0</v>
      </c>
      <c r="D7" s="17">
        <v>0.0</v>
      </c>
      <c r="E7" s="17">
        <v>1.527273275E8</v>
      </c>
      <c r="G7" s="134"/>
      <c r="H7" s="134"/>
      <c r="I7" s="134"/>
      <c r="J7" s="46" t="s">
        <v>63</v>
      </c>
      <c r="K7" s="47"/>
      <c r="L7" s="47"/>
      <c r="M7" s="47"/>
      <c r="N7" s="47"/>
      <c r="O7" s="47"/>
      <c r="P7" s="48"/>
    </row>
    <row r="8">
      <c r="A8" s="72"/>
      <c r="B8" s="72"/>
      <c r="C8" s="72"/>
      <c r="D8" s="72"/>
      <c r="E8" s="72"/>
    </row>
    <row r="9">
      <c r="A9" s="130" t="s">
        <v>4</v>
      </c>
      <c r="B9" s="72"/>
      <c r="C9" s="72"/>
      <c r="D9" s="72"/>
      <c r="E9" s="72"/>
    </row>
    <row r="10">
      <c r="A10" s="72"/>
      <c r="B10" s="133">
        <v>2021.0</v>
      </c>
      <c r="C10" s="133">
        <v>2022.0</v>
      </c>
      <c r="D10" s="133">
        <v>2023.0</v>
      </c>
      <c r="E10" s="133">
        <v>2024.0</v>
      </c>
    </row>
    <row r="11">
      <c r="A11" s="61" t="s">
        <v>60</v>
      </c>
      <c r="B11" s="17">
        <v>3.74877415E7</v>
      </c>
      <c r="C11" s="17">
        <v>3.0335338E7</v>
      </c>
      <c r="D11" s="17">
        <v>2.74854745E7</v>
      </c>
      <c r="E11" s="17">
        <v>2.6831497E7</v>
      </c>
      <c r="G11" s="135"/>
      <c r="H11" s="135"/>
      <c r="I11" s="135"/>
      <c r="J11" s="40" t="s">
        <v>64</v>
      </c>
      <c r="K11" s="41"/>
      <c r="L11" s="41"/>
      <c r="M11" s="41"/>
      <c r="N11" s="41"/>
      <c r="O11" s="41"/>
      <c r="P11" s="42"/>
      <c r="Q11" s="40" t="s">
        <v>65</v>
      </c>
      <c r="R11" s="41"/>
      <c r="S11" s="41"/>
      <c r="T11" s="41"/>
      <c r="U11" s="42"/>
    </row>
    <row r="12">
      <c r="A12" s="61">
        <v>2021.0</v>
      </c>
      <c r="B12" s="17">
        <v>6.6061534E7</v>
      </c>
      <c r="C12" s="17">
        <v>2.5603149E7</v>
      </c>
      <c r="D12" s="17">
        <v>2.12661185E7</v>
      </c>
      <c r="E12" s="17">
        <v>1.9554051E7</v>
      </c>
      <c r="G12" s="136"/>
      <c r="H12" s="136"/>
      <c r="I12" s="136"/>
      <c r="J12" s="123" t="s">
        <v>66</v>
      </c>
      <c r="K12" s="124"/>
      <c r="L12" s="124"/>
      <c r="M12" s="124"/>
      <c r="N12" s="124"/>
      <c r="O12" s="124"/>
      <c r="P12" s="125"/>
      <c r="Q12" s="137" t="s">
        <v>67</v>
      </c>
      <c r="U12" s="44"/>
    </row>
    <row r="13">
      <c r="A13" s="61">
        <v>2022.0</v>
      </c>
      <c r="B13" s="17">
        <v>0.0</v>
      </c>
      <c r="C13" s="17">
        <v>5.19678335E7</v>
      </c>
      <c r="D13" s="17">
        <v>1.9015788E7</v>
      </c>
      <c r="E13" s="17">
        <v>1.52587985E7</v>
      </c>
      <c r="G13" s="138"/>
      <c r="H13" s="138"/>
      <c r="I13" s="138"/>
      <c r="J13" s="43" t="s">
        <v>68</v>
      </c>
      <c r="P13" s="44"/>
      <c r="Q13" s="50"/>
      <c r="U13" s="44"/>
    </row>
    <row r="14">
      <c r="A14" s="61">
        <v>2023.0</v>
      </c>
      <c r="B14" s="17">
        <v>0.0</v>
      </c>
      <c r="C14" s="17">
        <v>0.0</v>
      </c>
      <c r="D14" s="17">
        <v>5.9071749E7</v>
      </c>
      <c r="E14" s="17">
        <v>2.09702955E7</v>
      </c>
      <c r="G14" s="138"/>
      <c r="H14" s="138"/>
      <c r="I14" s="138"/>
      <c r="J14" s="50"/>
      <c r="P14" s="44"/>
      <c r="Q14" s="50"/>
      <c r="U14" s="44"/>
    </row>
    <row r="15">
      <c r="A15" s="61">
        <v>2024.0</v>
      </c>
      <c r="B15" s="17">
        <v>0.0</v>
      </c>
      <c r="C15" s="17">
        <v>0.0</v>
      </c>
      <c r="D15" s="17">
        <v>0.0</v>
      </c>
      <c r="E15" s="17">
        <v>7.3401526E7</v>
      </c>
      <c r="G15" s="138"/>
      <c r="H15" s="138"/>
      <c r="I15" s="138"/>
      <c r="J15" s="50"/>
      <c r="P15" s="44"/>
      <c r="Q15" s="50"/>
      <c r="U15" s="44"/>
    </row>
    <row r="16" ht="51.75" customHeight="1">
      <c r="A16" s="72"/>
      <c r="B16" s="72"/>
      <c r="C16" s="72"/>
      <c r="D16" s="72"/>
      <c r="E16" s="72"/>
      <c r="G16" s="138"/>
      <c r="H16" s="138"/>
      <c r="I16" s="138"/>
      <c r="J16" s="51"/>
      <c r="K16" s="47"/>
      <c r="L16" s="47"/>
      <c r="M16" s="47"/>
      <c r="N16" s="47"/>
      <c r="O16" s="47"/>
      <c r="P16" s="48"/>
      <c r="Q16" s="51"/>
      <c r="R16" s="47"/>
      <c r="S16" s="47"/>
      <c r="T16" s="47"/>
      <c r="U16" s="48"/>
    </row>
    <row r="17">
      <c r="A17" s="130" t="s">
        <v>1</v>
      </c>
      <c r="B17" s="72"/>
      <c r="C17" s="72"/>
      <c r="D17" s="72"/>
      <c r="E17" s="72"/>
      <c r="G17" s="131"/>
      <c r="H17" s="131"/>
      <c r="I17" s="131"/>
      <c r="J17" s="139" t="s">
        <v>69</v>
      </c>
      <c r="K17" s="140"/>
      <c r="L17" s="140"/>
      <c r="M17" s="140"/>
      <c r="N17" s="140"/>
      <c r="O17" s="140"/>
      <c r="P17" s="141"/>
    </row>
    <row r="18" ht="27.75" customHeight="1">
      <c r="A18" s="72"/>
      <c r="B18" s="133">
        <v>2021.0</v>
      </c>
      <c r="C18" s="133">
        <v>2022.0</v>
      </c>
      <c r="D18" s="133">
        <v>2023.0</v>
      </c>
      <c r="E18" s="133">
        <v>2024.0</v>
      </c>
      <c r="G18" s="136"/>
      <c r="H18" s="136"/>
      <c r="I18" s="136"/>
      <c r="J18" s="123" t="s">
        <v>70</v>
      </c>
      <c r="P18" s="44"/>
    </row>
    <row r="19">
      <c r="A19" s="61" t="s">
        <v>60</v>
      </c>
      <c r="B19" s="17">
        <v>5751.0</v>
      </c>
      <c r="C19" s="17">
        <v>4636.0</v>
      </c>
      <c r="D19" s="17">
        <v>4233.0</v>
      </c>
      <c r="E19" s="17">
        <v>3921.0</v>
      </c>
      <c r="G19" s="142"/>
      <c r="H19" s="142"/>
      <c r="I19" s="142"/>
      <c r="J19" s="50"/>
      <c r="P19" s="44"/>
    </row>
    <row r="20">
      <c r="A20" s="61">
        <v>2021.0</v>
      </c>
      <c r="B20" s="17">
        <v>14915.0</v>
      </c>
      <c r="C20" s="17">
        <v>4107.0</v>
      </c>
      <c r="D20" s="17">
        <v>3491.0</v>
      </c>
      <c r="E20" s="17">
        <v>3075.0</v>
      </c>
      <c r="G20" s="142"/>
      <c r="H20" s="142"/>
      <c r="I20" s="142"/>
      <c r="J20" s="50"/>
      <c r="P20" s="44"/>
    </row>
    <row r="21">
      <c r="A21" s="61">
        <v>2022.0</v>
      </c>
      <c r="B21" s="73"/>
      <c r="C21" s="17">
        <v>12720.0</v>
      </c>
      <c r="D21" s="17">
        <v>3389.0</v>
      </c>
      <c r="E21" s="17">
        <v>2686.0</v>
      </c>
      <c r="G21" s="142"/>
      <c r="H21" s="142"/>
      <c r="I21" s="142"/>
      <c r="J21" s="50"/>
      <c r="P21" s="44"/>
    </row>
    <row r="22">
      <c r="A22" s="61">
        <v>2023.0</v>
      </c>
      <c r="B22" s="73"/>
      <c r="C22" s="73"/>
      <c r="D22" s="17">
        <v>15166.0</v>
      </c>
      <c r="E22" s="17">
        <v>3799.0</v>
      </c>
      <c r="G22" s="142"/>
      <c r="H22" s="142"/>
      <c r="I22" s="142"/>
      <c r="J22" s="50"/>
      <c r="P22" s="44"/>
    </row>
    <row r="23">
      <c r="A23" s="61">
        <v>2024.0</v>
      </c>
      <c r="B23" s="73"/>
      <c r="C23" s="73"/>
      <c r="D23" s="73"/>
      <c r="E23" s="17">
        <v>18316.0</v>
      </c>
      <c r="G23" s="142"/>
      <c r="H23" s="142"/>
      <c r="I23" s="142"/>
      <c r="J23" s="50"/>
      <c r="P23" s="44"/>
    </row>
    <row r="24">
      <c r="A24" s="72"/>
      <c r="B24" s="72"/>
      <c r="C24" s="72"/>
      <c r="D24" s="72"/>
      <c r="E24" s="72"/>
      <c r="G24" s="142"/>
      <c r="H24" s="142"/>
      <c r="I24" s="142"/>
      <c r="J24" s="50"/>
      <c r="P24" s="44"/>
    </row>
    <row r="25">
      <c r="A25" s="130" t="s">
        <v>2</v>
      </c>
      <c r="B25" s="72"/>
      <c r="C25" s="72"/>
      <c r="D25" s="72"/>
      <c r="E25" s="72"/>
      <c r="G25" s="142"/>
      <c r="H25" s="142"/>
      <c r="I25" s="142"/>
      <c r="J25" s="51"/>
      <c r="K25" s="47"/>
      <c r="L25" s="47"/>
      <c r="M25" s="47"/>
      <c r="N25" s="47"/>
      <c r="O25" s="47"/>
      <c r="P25" s="48"/>
    </row>
    <row r="26">
      <c r="A26" s="72"/>
      <c r="B26" s="133">
        <v>2021.0</v>
      </c>
      <c r="C26" s="133">
        <v>2022.0</v>
      </c>
      <c r="D26" s="133">
        <v>2023.0</v>
      </c>
      <c r="E26" s="133">
        <v>2024.0</v>
      </c>
    </row>
    <row r="27">
      <c r="A27" s="61" t="s">
        <v>60</v>
      </c>
      <c r="B27" s="17">
        <v>13739.0</v>
      </c>
      <c r="C27" s="17">
        <v>11475.0</v>
      </c>
      <c r="D27" s="17">
        <v>11331.0</v>
      </c>
      <c r="E27" s="17">
        <v>10581.0</v>
      </c>
    </row>
    <row r="28">
      <c r="A28" s="61">
        <v>2021.0</v>
      </c>
      <c r="B28" s="17">
        <v>22911.0</v>
      </c>
      <c r="C28" s="17">
        <v>10035.0</v>
      </c>
      <c r="D28" s="17">
        <v>9346.0</v>
      </c>
      <c r="E28" s="17">
        <v>8197.0</v>
      </c>
    </row>
    <row r="29">
      <c r="A29" s="61">
        <v>2022.0</v>
      </c>
      <c r="B29" s="73"/>
      <c r="C29" s="17">
        <v>18640.0</v>
      </c>
      <c r="D29" s="17">
        <v>7992.0</v>
      </c>
      <c r="E29" s="17">
        <v>6336.0</v>
      </c>
    </row>
    <row r="30">
      <c r="A30" s="61">
        <v>2023.0</v>
      </c>
      <c r="B30" s="73"/>
      <c r="C30" s="73"/>
      <c r="D30" s="17">
        <v>22735.0</v>
      </c>
      <c r="E30" s="17">
        <v>9002.0</v>
      </c>
    </row>
    <row r="31">
      <c r="A31" s="61">
        <v>2024.0</v>
      </c>
      <c r="B31" s="73"/>
      <c r="C31" s="73"/>
      <c r="D31" s="73"/>
      <c r="E31" s="17">
        <v>27144.0</v>
      </c>
    </row>
    <row r="32">
      <c r="A32" s="143" t="s">
        <v>71</v>
      </c>
    </row>
  </sheetData>
  <mergeCells count="6">
    <mergeCell ref="J3:P3"/>
    <mergeCell ref="J5:P5"/>
    <mergeCell ref="J7:P7"/>
    <mergeCell ref="Q12:U16"/>
    <mergeCell ref="J13:P16"/>
    <mergeCell ref="J18:P25"/>
  </mergeCells>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5" max="5" width="16.0"/>
    <col customWidth="1" min="6" max="6" width="57.13"/>
  </cols>
  <sheetData>
    <row r="1">
      <c r="A1" s="144" t="s">
        <v>72</v>
      </c>
    </row>
    <row r="2">
      <c r="A2" s="134" t="s">
        <v>73</v>
      </c>
    </row>
    <row r="7">
      <c r="A7" s="134" t="s">
        <v>74</v>
      </c>
    </row>
    <row r="10" ht="30.75" customHeight="1"/>
    <row r="11">
      <c r="A11" s="134" t="s">
        <v>75</v>
      </c>
    </row>
    <row r="15">
      <c r="A15" s="134" t="s">
        <v>76</v>
      </c>
    </row>
    <row r="18" ht="15.0" customHeight="1"/>
    <row r="19">
      <c r="A19" s="134" t="s">
        <v>77</v>
      </c>
    </row>
    <row r="22" ht="30.75" customHeight="1"/>
    <row r="23">
      <c r="A23" s="124"/>
      <c r="B23" s="124"/>
      <c r="C23" s="124"/>
      <c r="D23" s="124"/>
      <c r="E23" s="124"/>
      <c r="F23" s="124"/>
    </row>
    <row r="24" ht="41.25" customHeight="1">
      <c r="A24" s="144" t="s">
        <v>78</v>
      </c>
    </row>
    <row r="25">
      <c r="A25" s="134" t="s">
        <v>79</v>
      </c>
    </row>
    <row r="28" ht="135.0" customHeight="1"/>
  </sheetData>
  <mergeCells count="6">
    <mergeCell ref="A2:F6"/>
    <mergeCell ref="A7:F10"/>
    <mergeCell ref="A11:F14"/>
    <mergeCell ref="A15:F18"/>
    <mergeCell ref="A19:F22"/>
    <mergeCell ref="A25:E28"/>
  </mergeCells>
  <drawing r:id="rId1"/>
</worksheet>
</file>